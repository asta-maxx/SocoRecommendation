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Read me" sheetId="1" state="visible" r:id="rId1"/>
    <sheet xmlns:r="http://schemas.openxmlformats.org/officeDocument/2006/relationships" name="1 Events" sheetId="2" state="visible" r:id="rId2"/>
    <sheet xmlns:r="http://schemas.openxmlformats.org/officeDocument/2006/relationships" name="2 Fields" sheetId="3" state="visible" r:id="rId3"/>
    <sheet xmlns:r="http://schemas.openxmlformats.org/officeDocument/2006/relationships" name="3 Data model changes" sheetId="4" state="visible" r:id="rId4"/>
    <sheet xmlns:r="http://schemas.openxmlformats.org/officeDocument/2006/relationships" name="Rules" sheetId="5" state="visible" r:id="rId5"/>
    <sheet xmlns:r="http://schemas.openxmlformats.org/officeDocument/2006/relationships" name="4 Native event map" sheetId="6" state="visible" r:id="rId6"/>
  </sheets>
  <definedNames>
    <definedName name="_xlnm._FilterDatabase" localSheetId="1" hidden="1">'1 Events'!$A$4:$L$17</definedName>
    <definedName name="_xlnm._FilterDatabase" localSheetId="2" hidden="1">'2 Fields'!$A$4:$N$90</definedName>
    <definedName name="_xlnm._FilterDatabase" localSheetId="3" hidden="1">'3 Data model changes'!$A$4:$J$16</definedName>
    <definedName name="_xlnm._FilterDatabase" localSheetId="4" hidden="1">'Rules'!$A$4:$E$27</definedName>
  </definedNames>
  <calcPr calcId="124519" fullCalcOnLoad="1" refMode="A1" iterate="0" iterateCount="100" iterateDelta="0.0001"/>
</workbook>
</file>

<file path=xl/styles.xml><?xml version="1.0" encoding="utf-8"?>
<styleSheet xmlns="http://schemas.openxmlformats.org/spreadsheetml/2006/main">
  <numFmts count="1">
    <numFmt numFmtId="164" formatCode="d\ mmm\ yyyy"/>
  </numFmts>
  <fonts count="12">
    <font>
      <name val="Calibri"/>
      <charset val="1"/>
      <family val="0"/>
      <color theme="1"/>
      <sz val="11"/>
    </font>
    <font>
      <name val="Arial"/>
      <family val="0"/>
      <sz val="10"/>
    </font>
    <font>
      <name val="Arial"/>
      <family val="0"/>
      <sz val="10"/>
    </font>
    <font>
      <name val="Arial"/>
      <family val="0"/>
      <sz val="10"/>
    </font>
    <font>
      <name val="Arial"/>
      <charset val="1"/>
      <family val="0"/>
      <b val="1"/>
      <color rgb="FFFFFFFF"/>
      <sz val="14"/>
    </font>
    <font>
      <name val="Arial"/>
      <charset val="1"/>
      <family val="0"/>
      <color theme="1"/>
      <sz val="11"/>
    </font>
    <font>
      <name val="Arial"/>
      <charset val="1"/>
      <family val="0"/>
      <b val="1"/>
      <color theme="1"/>
      <sz val="10"/>
    </font>
    <font>
      <name val="Arial"/>
      <charset val="1"/>
      <family val="0"/>
      <color theme="1"/>
      <sz val="10"/>
    </font>
    <font>
      <name val="Arial"/>
      <charset val="1"/>
      <family val="0"/>
      <b val="1"/>
      <color theme="1"/>
      <sz val="11"/>
    </font>
    <font>
      <name val="Arial"/>
      <charset val="1"/>
      <family val="0"/>
      <b val="1"/>
      <color rgb="FFFFFFFF"/>
      <sz val="10"/>
    </font>
    <font>
      <name val="Arial"/>
      <family val="2"/>
      <sz val="10"/>
    </font>
    <font>
      <name val="Cambria"/>
      <charset val="1"/>
      <family val="0"/>
      <b val="1"/>
      <color theme="1"/>
      <sz val="14"/>
    </font>
  </fonts>
  <fills count="8">
    <fill>
      <patternFill/>
    </fill>
    <fill>
      <patternFill patternType="gray125"/>
    </fill>
    <fill>
      <patternFill patternType="solid">
        <fgColor rgb="FF1F3864"/>
        <bgColor rgb="FF333333"/>
      </patternFill>
    </fill>
    <fill>
      <patternFill patternType="solid">
        <fgColor rgb="FFE2EFDA"/>
        <bgColor rgb="FFEDEDED"/>
      </patternFill>
    </fill>
    <fill>
      <patternFill patternType="solid">
        <fgColor rgb="FFFFF2CC"/>
        <bgColor rgb="FFEDEDED"/>
      </patternFill>
    </fill>
    <fill>
      <patternFill patternType="solid">
        <fgColor rgb="FFDDEBF7"/>
        <bgColor rgb="FFEDEDED"/>
      </patternFill>
    </fill>
    <fill>
      <patternFill patternType="solid">
        <fgColor rgb="FFEDEDED"/>
        <bgColor rgb="FFE2EFDA"/>
      </patternFill>
    </fill>
    <fill>
      <patternFill patternType="solid">
        <fgColor rgb="FF44546A"/>
        <bgColor rgb="FF1F3864"/>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48">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0" fillId="0" borderId="0" applyAlignment="1" pivotButton="0" quotePrefix="0" xfId="0">
      <alignment horizontal="general" vertical="bottom" wrapText="1"/>
    </xf>
    <xf numFmtId="0" fontId="6" fillId="3" borderId="0" applyAlignment="1" pivotButton="0" quotePrefix="0" xfId="0">
      <alignment horizontal="general" vertical="top" wrapText="1"/>
    </xf>
    <xf numFmtId="0" fontId="6" fillId="4" borderId="0" applyAlignment="1" pivotButton="0" quotePrefix="0" xfId="0">
      <alignment horizontal="general" vertical="top" wrapText="1"/>
    </xf>
    <xf numFmtId="0" fontId="6" fillId="5" borderId="0" applyAlignment="1" pivotButton="0" quotePrefix="0" xfId="0">
      <alignment horizontal="general" vertical="top" wrapText="1"/>
    </xf>
    <xf numFmtId="0" fontId="6" fillId="6" borderId="0" applyAlignment="1" pivotButton="0" quotePrefix="0" xfId="0">
      <alignment horizontal="general" vertical="top" wrapText="1"/>
    </xf>
    <xf numFmtId="0" fontId="8" fillId="0" borderId="0" applyAlignment="1" pivotButton="0" quotePrefix="0" xfId="0">
      <alignment horizontal="general" vertical="bottom"/>
    </xf>
    <xf numFmtId="0" fontId="9" fillId="7" borderId="1" applyAlignment="1" pivotButton="0" quotePrefix="0" xfId="0">
      <alignment horizontal="general" vertical="bottom"/>
    </xf>
    <xf numFmtId="0" fontId="6" fillId="3" borderId="1" applyAlignment="1" pivotButton="0" quotePrefix="0" xfId="0">
      <alignment horizontal="general" vertical="bottom"/>
    </xf>
    <xf numFmtId="0" fontId="7" fillId="0" borderId="1" applyAlignment="1" pivotButton="0" quotePrefix="0" xfId="0">
      <alignment horizontal="center" vertical="bottom"/>
    </xf>
    <xf numFmtId="0" fontId="6" fillId="4" borderId="1" applyAlignment="1" pivotButton="0" quotePrefix="0" xfId="0">
      <alignment horizontal="general" vertical="bottom"/>
    </xf>
    <xf numFmtId="0" fontId="6" fillId="5" borderId="1" applyAlignment="1" pivotButton="0" quotePrefix="0" xfId="0">
      <alignment horizontal="general" vertical="bottom"/>
    </xf>
    <xf numFmtId="0" fontId="6" fillId="6" borderId="1" applyAlignment="1" pivotButton="0" quotePrefix="0" xfId="0">
      <alignment horizontal="general" vertical="bottom"/>
    </xf>
    <xf numFmtId="0" fontId="6" fillId="0" borderId="1" applyAlignment="1" pivotButton="0" quotePrefix="0" xfId="0">
      <alignment horizontal="general" vertical="bottom"/>
    </xf>
    <xf numFmtId="0" fontId="9" fillId="7" borderId="1" applyAlignment="1" pivotButton="0" quotePrefix="0" xfId="0">
      <alignment horizontal="general" vertical="center" wrapText="1"/>
    </xf>
    <xf numFmtId="0" fontId="6" fillId="0" borderId="1" applyAlignment="1" pivotButton="0" quotePrefix="0" xfId="0">
      <alignment horizontal="general" vertical="top" wrapText="1"/>
    </xf>
    <xf numFmtId="0" fontId="7" fillId="0" borderId="1" applyAlignment="1" pivotButton="0" quotePrefix="0" xfId="0">
      <alignment horizontal="general" vertical="top" wrapText="1"/>
    </xf>
    <xf numFmtId="164" fontId="7" fillId="0" borderId="1" applyAlignment="1" pivotButton="0" quotePrefix="0" xfId="0">
      <alignment horizontal="general" vertical="top" wrapText="1"/>
    </xf>
    <xf numFmtId="0" fontId="11"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0" fillId="0" borderId="0" applyAlignment="1" pivotButton="0" quotePrefix="0" xfId="0">
      <alignment horizontal="general" vertical="bottom" wrapText="1"/>
    </xf>
    <xf numFmtId="0" fontId="6" fillId="3" borderId="0" applyAlignment="1" pivotButton="0" quotePrefix="0" xfId="0">
      <alignment horizontal="general" vertical="top" wrapText="1"/>
    </xf>
    <xf numFmtId="0" fontId="6" fillId="4" borderId="0" applyAlignment="1" pivotButton="0" quotePrefix="0" xfId="0">
      <alignment horizontal="general" vertical="top" wrapText="1"/>
    </xf>
    <xf numFmtId="0" fontId="6" fillId="5" borderId="0" applyAlignment="1" pivotButton="0" quotePrefix="0" xfId="0">
      <alignment horizontal="general" vertical="top" wrapText="1"/>
    </xf>
    <xf numFmtId="0" fontId="6" fillId="6" borderId="0" applyAlignment="1" pivotButton="0" quotePrefix="0" xfId="0">
      <alignment horizontal="general" vertical="top" wrapText="1"/>
    </xf>
    <xf numFmtId="0" fontId="8" fillId="0" borderId="0" applyAlignment="1" pivotButton="0" quotePrefix="0" xfId="0">
      <alignment horizontal="general" vertical="bottom"/>
    </xf>
    <xf numFmtId="0" fontId="9" fillId="7" borderId="1" applyAlignment="1" pivotButton="0" quotePrefix="0" xfId="0">
      <alignment horizontal="general" vertical="bottom"/>
    </xf>
    <xf numFmtId="0" fontId="6" fillId="3" borderId="1" applyAlignment="1" pivotButton="0" quotePrefix="0" xfId="0">
      <alignment horizontal="general" vertical="bottom"/>
    </xf>
    <xf numFmtId="0" fontId="7" fillId="0" borderId="1" applyAlignment="1" pivotButton="0" quotePrefix="0" xfId="0">
      <alignment horizontal="center" vertical="bottom"/>
    </xf>
    <xf numFmtId="0" fontId="6" fillId="4" borderId="1" applyAlignment="1" pivotButton="0" quotePrefix="0" xfId="0">
      <alignment horizontal="general" vertical="bottom"/>
    </xf>
    <xf numFmtId="0" fontId="6" fillId="5" borderId="1" applyAlignment="1" pivotButton="0" quotePrefix="0" xfId="0">
      <alignment horizontal="general" vertical="bottom"/>
    </xf>
    <xf numFmtId="0" fontId="6" fillId="6" borderId="1" applyAlignment="1" pivotButton="0" quotePrefix="0" xfId="0">
      <alignment horizontal="general" vertical="bottom"/>
    </xf>
    <xf numFmtId="0" fontId="6" fillId="0" borderId="1" applyAlignment="1" pivotButton="0" quotePrefix="0" xfId="0">
      <alignment horizontal="general" vertical="bottom"/>
    </xf>
    <xf numFmtId="0" fontId="9" fillId="7" borderId="1" applyAlignment="1" pivotButton="0" quotePrefix="0" xfId="0">
      <alignment horizontal="general" vertical="center" wrapText="1"/>
    </xf>
    <xf numFmtId="0" fontId="6" fillId="0" borderId="1" applyAlignment="1" pivotButton="0" quotePrefix="0" xfId="0">
      <alignment horizontal="general" vertical="top" wrapText="1"/>
    </xf>
    <xf numFmtId="0" fontId="7" fillId="0" borderId="1" applyAlignment="1" pivotButton="0" quotePrefix="0" xfId="0">
      <alignment horizontal="general" vertical="top" wrapText="1"/>
    </xf>
    <xf numFmtId="164" fontId="7" fillId="0" borderId="1" applyAlignment="1" pivotButton="0" quotePrefix="0" xfId="0">
      <alignment horizontal="general" vertical="top" wrapText="1"/>
    </xf>
    <xf numFmtId="0" fontId="11"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44546A"/>
          <bgColor rgb="FF000000"/>
        </patternFill>
      </fill>
    </dxf>
    <dxf>
      <fill>
        <patternFill patternType="solid">
          <fgColor rgb="FFDDEBF7"/>
          <bgColor rgb="FF000000"/>
        </patternFill>
      </fill>
    </dxf>
    <dxf>
      <fill>
        <patternFill patternType="solid">
          <fgColor rgb="FFE2EFDA"/>
          <bgColor rgb="FF000000"/>
        </patternFill>
      </fill>
    </dxf>
    <dxf>
      <fill>
        <patternFill patternType="solid">
          <fgColor rgb="FFEDEDED"/>
          <bgColor rgb="FF000000"/>
        </patternFill>
      </fill>
    </dxf>
    <dxf>
      <fill>
        <patternFill patternType="solid">
          <fgColor rgb="FFFFF2CC"/>
          <bgColor rgb="FF000000"/>
        </patternFill>
      </fill>
    </dxf>
    <dxf>
      <fill>
        <patternFill patternType="solid">
          <fgColor rgb="FF000000"/>
          <bgColor rgb="FF000000"/>
        </patternFill>
      </fill>
    </dxf>
    <dxf>
      <fill>
        <patternFill patternType="solid">
          <fgColor rgb="FFFFFFFF"/>
          <bgColor rgb="FF000000"/>
        </patternFill>
      </fill>
    </dxf>
    <dxf>
      <fill>
        <patternFill>
          <bgColor rgb="FFE2EFDA"/>
        </patternFill>
      </fill>
    </dxf>
    <dxf>
      <fill>
        <patternFill>
          <bgColor rgb="FFFFF2CC"/>
        </patternFill>
      </fill>
    </dxf>
    <dxf>
      <fill>
        <patternFill>
          <bgColor rgb="FFDDEBF7"/>
        </patternFill>
      </fill>
    </dxf>
    <dxf>
      <fill>
        <patternFill>
          <bgColor rgb="FFEDEDED"/>
        </patternFill>
      </fill>
    </dxf>
    <dxf>
      <fill>
        <patternFill patternType="soli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DEDED"/>
      <rgbColor rgb="FFE2EFDA"/>
      <rgbColor rgb="FFFFFF99"/>
      <rgbColor rgb="FF99CCFF"/>
      <rgbColor rgb="FFFF99CC"/>
      <rgbColor rgb="FFCC99FF"/>
      <rgbColor rgb="FFFFCC99"/>
      <rgbColor rgb="FF3366FF"/>
      <rgbColor rgb="FF33CCCC"/>
      <rgbColor rgb="FF99CC00"/>
      <rgbColor rgb="FFFFCC00"/>
      <rgbColor rgb="FFFF9900"/>
      <rgbColor rgb="FFFF6600"/>
      <rgbColor rgb="FF44546A"/>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comments/comment1.xml><?xml version="1.0" encoding="utf-8"?>
<comments xmlns="http://schemas.openxmlformats.org/spreadsheetml/2006/main">
  <authors>
    <author>Unknown Author</author>
  </authors>
  <commentList>
    <comment ref="E18" authorId="0" shapeId="0">
      <text>
        <t>======
ID#AAACHu9PsPM
KalaNisha G    (2026-09-29 07:00:59)
Ignore the yellow highlighted text. Its for my reference</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5.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filterMode="0">
    <outlinePr summaryBelow="1" summaryRight="1"/>
    <pageSetUpPr fitToPage="0"/>
  </sheetPr>
  <dimension ref="A1:I22"/>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4.43359375" defaultRowHeight="15" zeroHeight="0" outlineLevelRow="0"/>
  <cols>
    <col width="28" customWidth="1" style="24" min="1" max="1"/>
    <col width="16" customWidth="1" style="24" min="2" max="3"/>
    <col width="20" customWidth="1" style="24" min="4" max="4"/>
    <col width="8.710000000000001" customWidth="1" style="24" min="5" max="8"/>
    <col width="41.86" customWidth="1" style="24" min="9" max="9"/>
    <col width="8.710000000000001" customWidth="1" style="24" min="10" max="26"/>
  </cols>
  <sheetData>
    <row r="1" ht="25.5" customHeight="1" s="25">
      <c r="A1" s="26" t="inlineStr">
        <is>
          <t>Capture register (SOCO-REC-DS-003a)</t>
        </is>
      </c>
    </row>
    <row r="2" ht="15" customHeight="1" s="25">
      <c r="A2" s="27" t="n"/>
      <c r="B2" s="27" t="n"/>
      <c r="C2" s="27" t="n"/>
      <c r="D2" s="27" t="n"/>
    </row>
    <row r="3" ht="60" customHeight="1" s="25">
      <c r="A3" s="28" t="inlineStr">
        <is>
          <t>What this is</t>
        </is>
      </c>
      <c r="B3" s="29" t="inlineStr">
        <is>
          <t>The single list of what the app, the backend and the recommendation service must capture, field by field. Updated 14 October 2026. The Wave 1A build list wins where the two differ.</t>
        </is>
      </c>
      <c r="H3" s="24" t="inlineStr">
        <is>
          <t>Aravinth</t>
        </is>
      </c>
      <c r="I3" s="30" t="inlineStr">
        <is>
          <t>For each of your rows, "What must be built" / "What the value must be" is the rule you have to code to. "How to check it is right" is how you will check your own work.</t>
        </is>
      </c>
    </row>
    <row r="4" ht="57.75" customHeight="1" s="25">
      <c r="A4" s="28" t="inlineStr">
        <is>
          <t>What is in it</t>
        </is>
      </c>
      <c r="B4" s="29" t="inlineStr">
        <is>
          <t>13 events, 86 fields and 12 data model changes, the Rules sheet that most rows point to, and sheet 4, which maps the platform's 26 native event types to the events.</t>
        </is>
      </c>
      <c r="H4" s="24" t="inlineStr">
        <is>
          <t>Allen</t>
        </is>
      </c>
      <c r="I4" s="30" t="inlineStr">
        <is>
          <t>Builds your rows (E1, served_items, the engine sync, ml_events) the same way, and reports status the same way.</t>
        </is>
      </c>
    </row>
    <row r="5" ht="45" customHeight="1" s="25">
      <c r="A5" s="28" t="inlineStr">
        <is>
          <t>How to read a row</t>
        </is>
      </c>
      <c r="B5" s="29" t="inlineStr">
        <is>
          <t>Status says where it stood on 14 October 2026 (Verify = reported built in the APP-00 answers, check still to run). For a built row, Built on / due by is the build date. For rows still to build it is blank: the step each row sits in is in the Wave 1A build list, which also names the item (APP, DB or ENG) that builds it. What must be built / What the value must be is the rule to build and test against. Decided in lists the related codes in this register.</t>
        </is>
      </c>
      <c r="I5" s="30" t="inlineStr">
        <is>
          <t>Run the code test. The test reads the register. Generate the schema file both sides build against from it.</t>
        </is>
      </c>
    </row>
    <row r="6" ht="45" customHeight="1" s="25">
      <c r="A6" s="31" t="inlineStr">
        <is>
          <t>Built</t>
        </is>
      </c>
      <c r="B6" s="29" t="inlineStr">
        <is>
          <t>Reported built. Checked by the How to check column.</t>
        </is>
      </c>
      <c r="I6" s="30" t="inlineStr">
        <is>
          <t>Report failures in two kinds: names missing from the register, or the test not being able to read the layout.</t>
        </is>
      </c>
    </row>
    <row r="7" ht="33" customHeight="1" s="25">
      <c r="A7" s="32" t="inlineStr">
        <is>
          <t>Verify</t>
        </is>
      </c>
      <c r="B7" s="29" t="inlineStr">
        <is>
          <t>Reported built, one check still to run.</t>
        </is>
      </c>
      <c r="H7" s="24" t="inlineStr">
        <is>
          <t>Aravinth</t>
        </is>
      </c>
      <c r="I7" s="30" t="inlineStr">
        <is>
          <t>Keeps the register in step with the build list: dates every change in the Note, and adds rows only for new fields in the API contract.</t>
        </is>
      </c>
    </row>
    <row r="8" ht="30" customHeight="1" s="25">
      <c r="A8" s="33" t="inlineStr">
        <is>
          <t>To build</t>
        </is>
      </c>
      <c r="B8" s="29" t="inlineStr">
        <is>
          <t>Accepted, not built yet. The step is in the Wave 1A build list.</t>
        </is>
      </c>
    </row>
    <row r="9" ht="15" customHeight="1" s="25">
      <c r="A9" s="34" t="inlineStr">
        <is>
          <t>Deferred</t>
        </is>
      </c>
      <c r="B9" s="29" t="inlineStr">
        <is>
          <t>After Wave 1A. The consequence is in the Note.</t>
        </is>
      </c>
    </row>
    <row r="10" ht="15" customHeight="1" s="25">
      <c r="A10" s="34" t="inlineStr">
        <is>
          <t>Closed</t>
        </is>
      </c>
      <c r="B10" s="29" t="inlineStr">
        <is>
          <t>Nothing to build: already captured or not needed.</t>
        </is>
      </c>
    </row>
    <row r="11" ht="60" customHeight="1" s="25">
      <c r="A11" s="28" t="inlineStr">
        <is>
          <t>Changing a row</t>
        </is>
      </c>
      <c r="B11" s="29" t="inlineStr">
        <is>
          <t>Change it here and date the change in the Note. Any change to an event, a field or a retention period is agreed in writing by Allen and Aravinth first.</t>
        </is>
      </c>
    </row>
    <row r="12" ht="45" customHeight="1" s="25">
      <c r="A12" s="28" t="inlineStr">
        <is>
          <t>History</t>
        </is>
      </c>
      <c r="B12" s="29" t="inlineStr">
        <is>
          <t>Earlier versions are withdrawn. This is the only version.</t>
        </is>
      </c>
    </row>
    <row r="13" ht="15" customHeight="1" s="25">
      <c r="A13" s="27" t="n"/>
      <c r="B13" s="27" t="n"/>
      <c r="C13" s="27" t="n"/>
      <c r="D13" s="27" t="n"/>
    </row>
    <row r="14" ht="15" customHeight="1" s="25">
      <c r="A14" s="35" t="inlineStr">
        <is>
          <t>Where things stand</t>
        </is>
      </c>
      <c r="B14" s="27" t="n"/>
      <c r="C14" s="27" t="n"/>
      <c r="D14" s="27" t="n"/>
    </row>
    <row r="15" ht="15" customHeight="1" s="25">
      <c r="A15" s="36" t="inlineStr">
        <is>
          <t>Status</t>
        </is>
      </c>
      <c r="B15" s="36" t="inlineStr">
        <is>
          <t>Events</t>
        </is>
      </c>
      <c r="C15" s="36" t="inlineStr">
        <is>
          <t>Fields</t>
        </is>
      </c>
      <c r="D15" s="36" t="inlineStr">
        <is>
          <t>Data model changes</t>
        </is>
      </c>
    </row>
    <row r="16" ht="15" customHeight="1" s="25">
      <c r="A16" s="37" t="inlineStr">
        <is>
          <t>Built</t>
        </is>
      </c>
      <c r="B16" s="38">
        <f>COUNTIF('1 Events'!F5:F17,"Built")</f>
        <v/>
      </c>
      <c r="C16" s="38">
        <f>COUNTIF('2 Fields'!H5:H90,"Built")</f>
        <v/>
      </c>
      <c r="D16" s="38">
        <f>COUNTIF('3 Data model changes'!E5:E16,"Built")</f>
        <v/>
      </c>
    </row>
    <row r="17" ht="15" customHeight="1" s="25">
      <c r="A17" s="39" t="inlineStr">
        <is>
          <t>Verify</t>
        </is>
      </c>
      <c r="B17" s="38">
        <f>COUNTIF('1 Events'!F5:F17,"Verify")</f>
        <v/>
      </c>
      <c r="C17" s="38">
        <f>COUNTIF('2 Fields'!H5:H90,"Verify")</f>
        <v/>
      </c>
      <c r="D17" s="38">
        <f>COUNTIF('3 Data model changes'!E5:E16,"Verify")</f>
        <v/>
      </c>
    </row>
    <row r="18" ht="15" customHeight="1" s="25">
      <c r="A18" s="40" t="inlineStr">
        <is>
          <t>To build</t>
        </is>
      </c>
      <c r="B18" s="38">
        <f>COUNTIF('1 Events'!F5:F17,"To build")</f>
        <v/>
      </c>
      <c r="C18" s="38">
        <f>COUNTIF('2 Fields'!H5:H90,"To build")</f>
        <v/>
      </c>
      <c r="D18" s="38">
        <f>COUNTIF('3 Data model changes'!E5:E16,"To build")</f>
        <v/>
      </c>
    </row>
    <row r="19" ht="15" customHeight="1" s="25">
      <c r="A19" s="41" t="inlineStr">
        <is>
          <t>Deferred</t>
        </is>
      </c>
      <c r="B19" s="38">
        <f>COUNTIF('1 Events'!F5:F17,"Deferred")</f>
        <v/>
      </c>
      <c r="C19" s="38">
        <f>COUNTIF('2 Fields'!H5:H90,"Deferred")</f>
        <v/>
      </c>
      <c r="D19" s="38">
        <f>COUNTIF('3 Data model changes'!E5:E16,"Deferred")</f>
        <v/>
      </c>
    </row>
    <row r="20" ht="15" customHeight="1" s="25">
      <c r="A20" s="41" t="inlineStr">
        <is>
          <t>Closed</t>
        </is>
      </c>
      <c r="B20" s="38">
        <f>COUNTIF('1 Events'!F5:F17,"Closed")</f>
        <v/>
      </c>
      <c r="C20" s="38">
        <f>COUNTIF('2 Fields'!H5:H90,"Closed")</f>
        <v/>
      </c>
      <c r="D20" s="38">
        <f>COUNTIF('3 Data model changes'!E5:E16,"Closed")</f>
        <v/>
      </c>
    </row>
    <row r="21" ht="15" customHeight="1" s="25">
      <c r="A21" s="42" t="inlineStr">
        <is>
          <t>To build (dates in the build list)</t>
        </is>
      </c>
      <c r="B21" s="38">
        <f>COUNTIFS('1 Events'!F5:F17,"To build",'1 Events'!G5:G17,"")</f>
        <v/>
      </c>
      <c r="C21" s="38">
        <f>COUNTIFS('2 Fields'!H5:H90,"To build",'2 Fields'!I5:I90,"")</f>
        <v/>
      </c>
      <c r="D21" s="38">
        <f>COUNTIFS('3 Data model changes'!E5:E16,"To build",'3 Data model changes'!F5:F16,"")</f>
        <v/>
      </c>
    </row>
    <row r="22" ht="15" customHeight="1" s="25">
      <c r="A22" s="42" t="inlineStr">
        <is>
          <t>Total</t>
        </is>
      </c>
      <c r="B22" s="38">
        <f>COUNTA('1 Events'!F5:F17)</f>
        <v/>
      </c>
      <c r="C22" s="38">
        <f>COUNTA('2 Fields'!H5:H90)</f>
        <v/>
      </c>
      <c r="D22" s="38">
        <f>COUNTA('3 Data model changes'!E5:E16)</f>
        <v/>
      </c>
    </row>
    <row r="23" ht="15.75" customHeight="1" s="25"/>
    <row r="24" ht="15.75" customHeight="1" s="25"/>
    <row r="25" ht="15.75" customHeight="1" s="25"/>
    <row r="26" ht="15.75" customHeight="1" s="25"/>
    <row r="27" ht="15.75" customHeight="1" s="25"/>
    <row r="28" ht="15.75" customHeight="1" s="25"/>
    <row r="29" ht="15.75" customHeight="1" s="25"/>
    <row r="30" ht="15.75" customHeight="1" s="25"/>
    <row r="31" ht="15.75" customHeight="1" s="25"/>
    <row r="32" ht="15.75" customHeight="1" s="25"/>
    <row r="33" ht="15.75" customHeight="1" s="25"/>
    <row r="34" ht="15.75" customHeight="1" s="25"/>
    <row r="35" ht="15.75" customHeight="1" s="25"/>
    <row r="36" ht="15.75" customHeight="1" s="25"/>
    <row r="37" ht="15.75" customHeight="1" s="25"/>
    <row r="38" ht="15.75" customHeight="1" s="25"/>
    <row r="39" ht="15.75" customHeight="1" s="25"/>
    <row r="40" ht="15.75" customHeight="1" s="25"/>
    <row r="41" ht="15.75" customHeight="1" s="25"/>
    <row r="42" ht="15.75" customHeight="1" s="25"/>
    <row r="43" ht="15.75" customHeight="1" s="25"/>
    <row r="44" ht="15.75" customHeight="1" s="25"/>
    <row r="45" ht="15.75" customHeight="1" s="25"/>
    <row r="46" ht="15.75" customHeight="1" s="25"/>
    <row r="47" ht="15.75" customHeight="1" s="25"/>
    <row r="48" ht="15.75" customHeight="1" s="25"/>
    <row r="49" ht="15.75" customHeight="1" s="25"/>
    <row r="50" ht="15.75" customHeight="1" s="25"/>
    <row r="51" ht="15.75" customHeight="1" s="25"/>
    <row r="52" ht="15.75" customHeight="1" s="25"/>
    <row r="53" ht="15.75" customHeight="1" s="25"/>
    <row r="54" ht="15.75" customHeight="1" s="25"/>
    <row r="55" ht="15.75" customHeight="1" s="25"/>
    <row r="56" ht="15.75" customHeight="1" s="25"/>
    <row r="57" ht="15.75" customHeight="1" s="25"/>
    <row r="58" ht="15.75" customHeight="1" s="25"/>
    <row r="59" ht="15.75" customHeight="1" s="25"/>
    <row r="60" ht="15.75" customHeight="1" s="25"/>
    <row r="61" ht="15.75" customHeight="1" s="25"/>
    <row r="62" ht="15.75" customHeight="1" s="25"/>
    <row r="63" ht="15.75" customHeight="1" s="25"/>
    <row r="64" ht="15.75" customHeight="1" s="25"/>
    <row r="65" ht="15.75" customHeight="1" s="25"/>
    <row r="66" ht="15.75" customHeight="1" s="25"/>
    <row r="67" ht="15.75" customHeight="1" s="25"/>
    <row r="68" ht="15.75" customHeight="1" s="25"/>
    <row r="69" ht="15.75" customHeight="1" s="25"/>
    <row r="70" ht="15.75" customHeight="1" s="25"/>
    <row r="71" ht="15.75" customHeight="1" s="25"/>
    <row r="72" ht="15.75" customHeight="1" s="25"/>
    <row r="73" ht="15.75" customHeight="1" s="25"/>
    <row r="74" ht="15.75" customHeight="1" s="25"/>
    <row r="75" ht="15.75" customHeight="1" s="25"/>
    <row r="76" ht="15.75" customHeight="1" s="25"/>
    <row r="77" ht="15.75" customHeight="1" s="25"/>
    <row r="78" ht="15.75" customHeight="1" s="25"/>
    <row r="79" ht="15.75" customHeight="1" s="25"/>
    <row r="80" ht="15.75" customHeight="1" s="25"/>
    <row r="81" ht="15.75" customHeight="1" s="25"/>
    <row r="82" ht="15.75" customHeight="1" s="25"/>
    <row r="83" ht="15.75" customHeight="1" s="25"/>
    <row r="84" ht="15.75" customHeight="1" s="25"/>
    <row r="85" ht="15.75" customHeight="1" s="25"/>
    <row r="86" ht="15.75" customHeight="1" s="25"/>
    <row r="87" ht="15.75" customHeight="1" s="25"/>
    <row r="88" ht="15.75" customHeight="1" s="25"/>
    <row r="89" ht="15.75" customHeight="1" s="25"/>
    <row r="90" ht="15.75" customHeight="1" s="25"/>
    <row r="91" ht="15.75" customHeight="1" s="25"/>
    <row r="92" ht="15.75" customHeight="1" s="25"/>
    <row r="93" ht="15.75" customHeight="1" s="25"/>
    <row r="94" ht="15.75" customHeight="1" s="25"/>
    <row r="95" ht="15.75" customHeight="1" s="25"/>
    <row r="96" ht="15.75" customHeight="1" s="25"/>
    <row r="97" ht="15.75" customHeight="1" s="25"/>
    <row r="98" ht="15.75" customHeight="1" s="25"/>
    <row r="99" ht="15.75" customHeight="1" s="25"/>
    <row r="100" ht="15.75" customHeight="1" s="25"/>
    <row r="101" ht="15.75" customHeight="1" s="25"/>
    <row r="102" ht="15.75" customHeight="1" s="25"/>
    <row r="103" ht="15.75" customHeight="1" s="25"/>
    <row r="104" ht="15.75" customHeight="1" s="25"/>
    <row r="105" ht="15.75" customHeight="1" s="25"/>
    <row r="106" ht="15.75" customHeight="1" s="25"/>
    <row r="107" ht="15.75" customHeight="1" s="25"/>
    <row r="108" ht="15.75" customHeight="1" s="25"/>
    <row r="109" ht="15.75" customHeight="1" s="25"/>
    <row r="110" ht="15.75" customHeight="1" s="25"/>
    <row r="111" ht="15.75" customHeight="1" s="25"/>
    <row r="112" ht="15.75" customHeight="1" s="25"/>
    <row r="113" ht="15.75" customHeight="1" s="25"/>
    <row r="114" ht="15.75" customHeight="1" s="25"/>
    <row r="115" ht="15.75" customHeight="1" s="25"/>
    <row r="116" ht="15.75" customHeight="1" s="25"/>
    <row r="117" ht="15.75" customHeight="1" s="25"/>
    <row r="118" ht="15.75" customHeight="1" s="25"/>
    <row r="119" ht="15.75" customHeight="1" s="25"/>
    <row r="120" ht="15.75" customHeight="1" s="25"/>
    <row r="121" ht="15.75" customHeight="1" s="25"/>
    <row r="122" ht="15.75" customHeight="1" s="25"/>
    <row r="123" ht="15.75" customHeight="1" s="25"/>
    <row r="124" ht="15.75" customHeight="1" s="25"/>
    <row r="125" ht="15.75" customHeight="1" s="25"/>
    <row r="126" ht="15.75" customHeight="1" s="25"/>
    <row r="127" ht="15.75" customHeight="1" s="25"/>
    <row r="128" ht="15.75" customHeight="1" s="25"/>
    <row r="129" ht="15.75" customHeight="1" s="25"/>
    <row r="130" ht="15.75" customHeight="1" s="25"/>
    <row r="131" ht="15.75" customHeight="1" s="25"/>
    <row r="132" ht="15.75" customHeight="1" s="25"/>
    <row r="133" ht="15.75" customHeight="1" s="25"/>
    <row r="134" ht="15.75" customHeight="1" s="25"/>
    <row r="135" ht="15.75" customHeight="1" s="25"/>
    <row r="136" ht="15.75" customHeight="1" s="25"/>
    <row r="137" ht="15.75" customHeight="1" s="25"/>
    <row r="138" ht="15.75" customHeight="1" s="25"/>
    <row r="139" ht="15.75" customHeight="1" s="25"/>
    <row r="140" ht="15.75" customHeight="1" s="25"/>
    <row r="141" ht="15.75" customHeight="1" s="25"/>
    <row r="142" ht="15.75" customHeight="1" s="25"/>
    <row r="143" ht="15.75" customHeight="1" s="25"/>
    <row r="144" ht="15.75" customHeight="1" s="25"/>
    <row r="145" ht="15.75" customHeight="1" s="25"/>
    <row r="146" ht="15.75" customHeight="1" s="25"/>
    <row r="147" ht="15.75" customHeight="1" s="25"/>
    <row r="148" ht="15.75" customHeight="1" s="25"/>
    <row r="149" ht="15.75" customHeight="1" s="25"/>
    <row r="150" ht="15.75" customHeight="1" s="25"/>
    <row r="151" ht="15.75" customHeight="1" s="25"/>
    <row r="152" ht="15.75" customHeight="1" s="25"/>
    <row r="153" ht="15.75" customHeight="1" s="25"/>
    <row r="154" ht="15.75" customHeight="1" s="25"/>
    <row r="155" ht="15.75" customHeight="1" s="25"/>
    <row r="156" ht="15.75" customHeight="1" s="25"/>
    <row r="157" ht="15.75" customHeight="1" s="25"/>
    <row r="158" ht="15.75" customHeight="1" s="25"/>
    <row r="159" ht="15.75" customHeight="1" s="25"/>
    <row r="160" ht="15.75" customHeight="1" s="25"/>
    <row r="161" ht="15.75" customHeight="1" s="25"/>
    <row r="162" ht="15.75" customHeight="1" s="25"/>
    <row r="163" ht="15.75" customHeight="1" s="25"/>
    <row r="164" ht="15.75" customHeight="1" s="25"/>
    <row r="165" ht="15.75" customHeight="1" s="25"/>
    <row r="166" ht="15.75" customHeight="1" s="25"/>
    <row r="167" ht="15.75" customHeight="1" s="25"/>
    <row r="168" ht="15.75" customHeight="1" s="25"/>
    <row r="169" ht="15.75" customHeight="1" s="25"/>
    <row r="170" ht="15.75" customHeight="1" s="25"/>
    <row r="171" ht="15.75" customHeight="1" s="25"/>
    <row r="172" ht="15.75" customHeight="1" s="25"/>
    <row r="173" ht="15.75" customHeight="1" s="25"/>
    <row r="174" ht="15.75" customHeight="1" s="25"/>
    <row r="175" ht="15.75" customHeight="1" s="25"/>
    <row r="176" ht="15.75" customHeight="1" s="25"/>
    <row r="177" ht="15.75" customHeight="1" s="25"/>
    <row r="178" ht="15.75" customHeight="1" s="25"/>
    <row r="179" ht="15.75" customHeight="1" s="25"/>
    <row r="180" ht="15.75" customHeight="1" s="25"/>
    <row r="181" ht="15.75" customHeight="1" s="25"/>
    <row r="182" ht="15.75" customHeight="1" s="25"/>
    <row r="183" ht="15.75" customHeight="1" s="25"/>
    <row r="184" ht="15.75" customHeight="1" s="25"/>
    <row r="185" ht="15.75" customHeight="1" s="25"/>
    <row r="186" ht="15.75" customHeight="1" s="25"/>
    <row r="187" ht="15.75" customHeight="1" s="25"/>
    <row r="188" ht="15.75" customHeight="1" s="25"/>
    <row r="189" ht="15.75" customHeight="1" s="25"/>
    <row r="190" ht="15.75" customHeight="1" s="25"/>
    <row r="191" ht="15.75" customHeight="1" s="25"/>
    <row r="192" ht="15.75" customHeight="1" s="25"/>
    <row r="193" ht="15.75" customHeight="1" s="25"/>
    <row r="194" ht="15.75" customHeight="1" s="25"/>
    <row r="195" ht="15.75" customHeight="1" s="25"/>
    <row r="196" ht="15.75" customHeight="1" s="25"/>
    <row r="197" ht="15.75" customHeight="1" s="25"/>
    <row r="198" ht="15.75" customHeight="1" s="25"/>
    <row r="199" ht="15.75" customHeight="1" s="25"/>
    <row r="200" ht="15.75" customHeight="1" s="25"/>
    <row r="201" ht="15.75" customHeight="1" s="25"/>
    <row r="202" ht="15.75" customHeight="1" s="25"/>
    <row r="203" ht="15.75" customHeight="1" s="25"/>
    <row r="204" ht="15.75" customHeight="1" s="25"/>
    <row r="205" ht="15.75" customHeight="1" s="25"/>
    <row r="206" ht="15.75" customHeight="1" s="25"/>
    <row r="207" ht="15.75" customHeight="1" s="25"/>
    <row r="208" ht="15.75" customHeight="1" s="25"/>
    <row r="209" ht="15.75" customHeight="1" s="25"/>
    <row r="210" ht="15.75" customHeight="1" s="25"/>
    <row r="211" ht="15.75" customHeight="1" s="25"/>
    <row r="212" ht="15.75" customHeight="1" s="25"/>
    <row r="213" ht="15.75" customHeight="1" s="25"/>
    <row r="214" ht="15.75" customHeight="1" s="25"/>
    <row r="215" ht="15.75" customHeight="1" s="25"/>
    <row r="216" ht="15.75" customHeight="1" s="25"/>
    <row r="217" ht="15.75" customHeight="1" s="25"/>
    <row r="218" ht="15.75" customHeight="1" s="25"/>
    <row r="219" ht="15.75" customHeight="1" s="25"/>
    <row r="220" ht="15.75" customHeight="1" s="25"/>
    <row r="221" ht="15.75" customHeight="1" s="25"/>
    <row r="222" ht="15.75" customHeight="1" s="25"/>
    <row r="223" ht="15.75" customHeight="1" s="25"/>
    <row r="224" ht="15.75" customHeight="1" s="25"/>
    <row r="225" ht="15.75" customHeight="1" s="25"/>
    <row r="226" ht="15.75" customHeight="1" s="25"/>
    <row r="227" ht="15.75" customHeight="1" s="25"/>
    <row r="228" ht="15.75" customHeight="1" s="25"/>
    <row r="229" ht="15.75" customHeight="1" s="25"/>
    <row r="230" ht="15.75" customHeight="1" s="25"/>
    <row r="231" ht="15.75" customHeight="1" s="25"/>
    <row r="232" ht="15.75" customHeight="1" s="25"/>
    <row r="233" ht="15.75" customHeight="1" s="25"/>
    <row r="234" ht="15.75" customHeight="1" s="25"/>
    <row r="235" ht="15.75" customHeight="1" s="25"/>
    <row r="236" ht="15.75" customHeight="1" s="25"/>
    <row r="237" ht="15.75" customHeight="1" s="25"/>
    <row r="238" ht="15.75" customHeight="1" s="25"/>
    <row r="239" ht="15.75" customHeight="1" s="25"/>
    <row r="240" ht="15.75" customHeight="1" s="25"/>
    <row r="241" ht="15.75" customHeight="1" s="25"/>
    <row r="242" ht="15.75" customHeight="1" s="25"/>
    <row r="243" ht="15.75" customHeight="1" s="25"/>
    <row r="244" ht="15.75" customHeight="1" s="25"/>
    <row r="245" ht="15.75" customHeight="1" s="25"/>
    <row r="246" ht="15.75" customHeight="1" s="25"/>
    <row r="247" ht="15.75" customHeight="1" s="25"/>
    <row r="248" ht="15.75" customHeight="1" s="25"/>
    <row r="249" ht="15.75" customHeight="1" s="25"/>
    <row r="250" ht="15.75" customHeight="1" s="25"/>
    <row r="251" ht="15.75" customHeight="1" s="25"/>
    <row r="252" ht="15.75" customHeight="1" s="25"/>
    <row r="253" ht="15.75" customHeight="1" s="25"/>
    <row r="254" ht="15.75" customHeight="1" s="25"/>
    <row r="255" ht="15.75" customHeight="1" s="25"/>
    <row r="256" ht="15.75" customHeight="1" s="25"/>
    <row r="257" ht="15.75" customHeight="1" s="25"/>
    <row r="258" ht="15.75" customHeight="1" s="25"/>
    <row r="259" ht="15.75" customHeight="1" s="25"/>
    <row r="260" ht="15.75" customHeight="1" s="25"/>
    <row r="261" ht="15.75" customHeight="1" s="25"/>
    <row r="262" ht="15.75" customHeight="1" s="25"/>
    <row r="263" ht="15.75" customHeight="1" s="25"/>
    <row r="264" ht="15.75" customHeight="1" s="25"/>
    <row r="265" ht="15.75" customHeight="1" s="25"/>
    <row r="266" ht="15.75" customHeight="1" s="25"/>
    <row r="267" ht="15.75" customHeight="1" s="25"/>
    <row r="268" ht="15.75" customHeight="1" s="25"/>
    <row r="269" ht="15.75" customHeight="1" s="25"/>
    <row r="270" ht="15.75" customHeight="1" s="25"/>
    <row r="271" ht="15.75" customHeight="1" s="25"/>
    <row r="272" ht="15.75" customHeight="1" s="25"/>
    <row r="273" ht="15.75" customHeight="1" s="25"/>
    <row r="274" ht="15.75" customHeight="1" s="25"/>
    <row r="275" ht="15.75" customHeight="1" s="25"/>
    <row r="276" ht="15.75" customHeight="1" s="25"/>
    <row r="277" ht="15.75" customHeight="1" s="25"/>
    <row r="278" ht="15.75" customHeight="1" s="25"/>
    <row r="279" ht="15.75" customHeight="1" s="25"/>
    <row r="280" ht="15.75" customHeight="1" s="25"/>
    <row r="281" ht="15.75" customHeight="1" s="25"/>
    <row r="282" ht="15.75" customHeight="1" s="25"/>
    <row r="283" ht="15.75" customHeight="1" s="25"/>
    <row r="284" ht="15.75" customHeight="1" s="25"/>
    <row r="285" ht="15.75" customHeight="1" s="25"/>
    <row r="286" ht="15.75" customHeight="1" s="25"/>
    <row r="287" ht="15.75" customHeight="1" s="25"/>
    <row r="288" ht="15.75" customHeight="1" s="25"/>
    <row r="289" ht="15.75" customHeight="1" s="25"/>
    <row r="290" ht="15.75" customHeight="1" s="25"/>
    <row r="291" ht="15.75" customHeight="1" s="25"/>
    <row r="292" ht="15.75" customHeight="1" s="25"/>
    <row r="293" ht="15.75" customHeight="1" s="25"/>
    <row r="294" ht="15.75" customHeight="1" s="25"/>
    <row r="295" ht="15.75" customHeight="1" s="25"/>
    <row r="296" ht="15.75" customHeight="1" s="25"/>
    <row r="297" ht="15.75" customHeight="1" s="25"/>
    <row r="298" ht="15.75" customHeight="1" s="25"/>
    <row r="299" ht="15.75" customHeight="1" s="25"/>
    <row r="300" ht="15.75" customHeight="1" s="25"/>
    <row r="301" ht="15.75" customHeight="1" s="25"/>
    <row r="302" ht="15.75" customHeight="1" s="25"/>
    <row r="303" ht="15.75" customHeight="1" s="25"/>
    <row r="304" ht="15.75" customHeight="1" s="25"/>
    <row r="305" ht="15.75" customHeight="1" s="25"/>
    <row r="306" ht="15.75" customHeight="1" s="25"/>
    <row r="307" ht="15.75" customHeight="1" s="25"/>
    <row r="308" ht="15.75" customHeight="1" s="25"/>
    <row r="309" ht="15.75" customHeight="1" s="25"/>
    <row r="310" ht="15.75" customHeight="1" s="25"/>
    <row r="311" ht="15.75" customHeight="1" s="25"/>
    <row r="312" ht="15.75" customHeight="1" s="25"/>
    <row r="313" ht="15.75" customHeight="1" s="25"/>
    <row r="314" ht="15.75" customHeight="1" s="25"/>
    <row r="315" ht="15.75" customHeight="1" s="25"/>
    <row r="316" ht="15.75" customHeight="1" s="25"/>
    <row r="317" ht="15.75" customHeight="1" s="25"/>
    <row r="318" ht="15.75" customHeight="1" s="25"/>
    <row r="319" ht="15.75" customHeight="1" s="25"/>
    <row r="320" ht="15.75" customHeight="1" s="25"/>
    <row r="321" ht="15.75" customHeight="1" s="25"/>
    <row r="322" ht="15.75" customHeight="1" s="25"/>
    <row r="323" ht="15.75" customHeight="1" s="25"/>
    <row r="324" ht="15.75" customHeight="1" s="25"/>
    <row r="325" ht="15.75" customHeight="1" s="25"/>
    <row r="326" ht="15.75" customHeight="1" s="25"/>
    <row r="327" ht="15.75" customHeight="1" s="25"/>
    <row r="328" ht="15.75" customHeight="1" s="25"/>
    <row r="329" ht="15.75" customHeight="1" s="25"/>
    <row r="330" ht="15.75" customHeight="1" s="25"/>
    <row r="331" ht="15.75" customHeight="1" s="25"/>
    <row r="332" ht="15.75" customHeight="1" s="25"/>
    <row r="333" ht="15.75" customHeight="1" s="25"/>
    <row r="334" ht="15.75" customHeight="1" s="25"/>
    <row r="335" ht="15.75" customHeight="1" s="25"/>
    <row r="336" ht="15.75" customHeight="1" s="25"/>
    <row r="337" ht="15.75" customHeight="1" s="25"/>
    <row r="338" ht="15.75" customHeight="1" s="25"/>
    <row r="339" ht="15.75" customHeight="1" s="25"/>
    <row r="340" ht="15.75" customHeight="1" s="25"/>
    <row r="341" ht="15.75" customHeight="1" s="25"/>
    <row r="342" ht="15.75" customHeight="1" s="25"/>
    <row r="343" ht="15.75" customHeight="1" s="25"/>
    <row r="344" ht="15.75" customHeight="1" s="25"/>
    <row r="345" ht="15.75" customHeight="1" s="25"/>
    <row r="346" ht="15.75" customHeight="1" s="25"/>
    <row r="347" ht="15.75" customHeight="1" s="25"/>
    <row r="348" ht="15.75" customHeight="1" s="25"/>
    <row r="349" ht="15.75" customHeight="1" s="25"/>
    <row r="350" ht="15.75" customHeight="1" s="25"/>
    <row r="351" ht="15.75" customHeight="1" s="25"/>
    <row r="352" ht="15.75" customHeight="1" s="25"/>
    <row r="353" ht="15.75" customHeight="1" s="25"/>
    <row r="354" ht="15.75" customHeight="1" s="25"/>
    <row r="355" ht="15.75" customHeight="1" s="25"/>
    <row r="356" ht="15.75" customHeight="1" s="25"/>
    <row r="357" ht="15.75" customHeight="1" s="25"/>
    <row r="358" ht="15.75" customHeight="1" s="25"/>
    <row r="359" ht="15.75" customHeight="1" s="25"/>
    <row r="360" ht="15.75" customHeight="1" s="25"/>
    <row r="361" ht="15.75" customHeight="1" s="25"/>
    <row r="362" ht="15.75" customHeight="1" s="25"/>
    <row r="363" ht="15.75" customHeight="1" s="25"/>
    <row r="364" ht="15.75" customHeight="1" s="25"/>
    <row r="365" ht="15.75" customHeight="1" s="25"/>
    <row r="366" ht="15.75" customHeight="1" s="25"/>
    <row r="367" ht="15.75" customHeight="1" s="25"/>
    <row r="368" ht="15.75" customHeight="1" s="25"/>
    <row r="369" ht="15.75" customHeight="1" s="25"/>
    <row r="370" ht="15.75" customHeight="1" s="25"/>
    <row r="371" ht="15.75" customHeight="1" s="25"/>
    <row r="372" ht="15.75" customHeight="1" s="25"/>
    <row r="373" ht="15.75" customHeight="1" s="25"/>
    <row r="374" ht="15.75" customHeight="1" s="25"/>
    <row r="375" ht="15.75" customHeight="1" s="25"/>
    <row r="376" ht="15.75" customHeight="1" s="25"/>
    <row r="377" ht="15.75" customHeight="1" s="25"/>
    <row r="378" ht="15.75" customHeight="1" s="25"/>
    <row r="379" ht="15.75" customHeight="1" s="25"/>
    <row r="380" ht="15.75" customHeight="1" s="25"/>
    <row r="381" ht="15.75" customHeight="1" s="25"/>
    <row r="382" ht="15.75" customHeight="1" s="25"/>
    <row r="383" ht="15.75" customHeight="1" s="25"/>
    <row r="384" ht="15.75" customHeight="1" s="25"/>
    <row r="385" ht="15.75" customHeight="1" s="25"/>
    <row r="386" ht="15.75" customHeight="1" s="25"/>
    <row r="387" ht="15.75" customHeight="1" s="25"/>
    <row r="388" ht="15.75" customHeight="1" s="25"/>
    <row r="389" ht="15.75" customHeight="1" s="25"/>
    <row r="390" ht="15.75" customHeight="1" s="25"/>
    <row r="391" ht="15.75" customHeight="1" s="25"/>
    <row r="392" ht="15.75" customHeight="1" s="25"/>
    <row r="393" ht="15.75" customHeight="1" s="25"/>
    <row r="394" ht="15.75" customHeight="1" s="25"/>
    <row r="395" ht="15.75" customHeight="1" s="25"/>
    <row r="396" ht="15.75" customHeight="1" s="25"/>
    <row r="397" ht="15.75" customHeight="1" s="25"/>
    <row r="398" ht="15.75" customHeight="1" s="25"/>
    <row r="399" ht="15.75" customHeight="1" s="25"/>
    <row r="400" ht="15.75" customHeight="1" s="25"/>
    <row r="401" ht="15.75" customHeight="1" s="25"/>
    <row r="402" ht="15.75" customHeight="1" s="25"/>
    <row r="403" ht="15.75" customHeight="1" s="25"/>
    <row r="404" ht="15.75" customHeight="1" s="25"/>
    <row r="405" ht="15.75" customHeight="1" s="25"/>
    <row r="406" ht="15.75" customHeight="1" s="25"/>
    <row r="407" ht="15.75" customHeight="1" s="25"/>
    <row r="408" ht="15.75" customHeight="1" s="25"/>
    <row r="409" ht="15.75" customHeight="1" s="25"/>
    <row r="410" ht="15.75" customHeight="1" s="25"/>
    <row r="411" ht="15.75" customHeight="1" s="25"/>
    <row r="412" ht="15.75" customHeight="1" s="25"/>
    <row r="413" ht="15.75" customHeight="1" s="25"/>
    <row r="414" ht="15.75" customHeight="1" s="25"/>
    <row r="415" ht="15.75" customHeight="1" s="25"/>
    <row r="416" ht="15.75" customHeight="1" s="25"/>
    <row r="417" ht="15.75" customHeight="1" s="25"/>
    <row r="418" ht="15.75" customHeight="1" s="25"/>
    <row r="419" ht="15.75" customHeight="1" s="25"/>
    <row r="420" ht="15.75" customHeight="1" s="25"/>
    <row r="421" ht="15.75" customHeight="1" s="25"/>
    <row r="422" ht="15.75" customHeight="1" s="25"/>
    <row r="423" ht="15.75" customHeight="1" s="25"/>
    <row r="424" ht="15.75" customHeight="1" s="25"/>
    <row r="425" ht="15.75" customHeight="1" s="25"/>
    <row r="426" ht="15.75" customHeight="1" s="25"/>
    <row r="427" ht="15.75" customHeight="1" s="25"/>
    <row r="428" ht="15.75" customHeight="1" s="25"/>
    <row r="429" ht="15.75" customHeight="1" s="25"/>
    <row r="430" ht="15.75" customHeight="1" s="25"/>
    <row r="431" ht="15.75" customHeight="1" s="25"/>
    <row r="432" ht="15.75" customHeight="1" s="25"/>
    <row r="433" ht="15.75" customHeight="1" s="25"/>
    <row r="434" ht="15.75" customHeight="1" s="25"/>
    <row r="435" ht="15.75" customHeight="1" s="25"/>
    <row r="436" ht="15.75" customHeight="1" s="25"/>
    <row r="437" ht="15.75" customHeight="1" s="25"/>
    <row r="438" ht="15.75" customHeight="1" s="25"/>
    <row r="439" ht="15.75" customHeight="1" s="25"/>
    <row r="440" ht="15.75" customHeight="1" s="25"/>
    <row r="441" ht="15.75" customHeight="1" s="25"/>
    <row r="442" ht="15.75" customHeight="1" s="25"/>
    <row r="443" ht="15.75" customHeight="1" s="25"/>
    <row r="444" ht="15.75" customHeight="1" s="25"/>
    <row r="445" ht="15.75" customHeight="1" s="25"/>
    <row r="446" ht="15.75" customHeight="1" s="25"/>
    <row r="447" ht="15.75" customHeight="1" s="25"/>
    <row r="448" ht="15.75" customHeight="1" s="25"/>
    <row r="449" ht="15.75" customHeight="1" s="25"/>
    <row r="450" ht="15.75" customHeight="1" s="25"/>
    <row r="451" ht="15.75" customHeight="1" s="25"/>
    <row r="452" ht="15.75" customHeight="1" s="25"/>
    <row r="453" ht="15.75" customHeight="1" s="25"/>
    <row r="454" ht="15.75" customHeight="1" s="25"/>
    <row r="455" ht="15.75" customHeight="1" s="25"/>
    <row r="456" ht="15.75" customHeight="1" s="25"/>
    <row r="457" ht="15.75" customHeight="1" s="25"/>
    <row r="458" ht="15.75" customHeight="1" s="25"/>
    <row r="459" ht="15.75" customHeight="1" s="25"/>
    <row r="460" ht="15.75" customHeight="1" s="25"/>
    <row r="461" ht="15.75" customHeight="1" s="25"/>
    <row r="462" ht="15.75" customHeight="1" s="25"/>
    <row r="463" ht="15.75" customHeight="1" s="25"/>
    <row r="464" ht="15.75" customHeight="1" s="25"/>
    <row r="465" ht="15.75" customHeight="1" s="25"/>
    <row r="466" ht="15.75" customHeight="1" s="25"/>
    <row r="467" ht="15.75" customHeight="1" s="25"/>
    <row r="468" ht="15.75" customHeight="1" s="25"/>
    <row r="469" ht="15.75" customHeight="1" s="25"/>
    <row r="470" ht="15.75" customHeight="1" s="25"/>
    <row r="471" ht="15.75" customHeight="1" s="25"/>
    <row r="472" ht="15.75" customHeight="1" s="25"/>
    <row r="473" ht="15.75" customHeight="1" s="25"/>
    <row r="474" ht="15.75" customHeight="1" s="25"/>
    <row r="475" ht="15.75" customHeight="1" s="25"/>
    <row r="476" ht="15.75" customHeight="1" s="25"/>
    <row r="477" ht="15.75" customHeight="1" s="25"/>
    <row r="478" ht="15.75" customHeight="1" s="25"/>
    <row r="479" ht="15.75" customHeight="1" s="25"/>
    <row r="480" ht="15.75" customHeight="1" s="25"/>
    <row r="481" ht="15.75" customHeight="1" s="25"/>
    <row r="482" ht="15.75" customHeight="1" s="25"/>
    <row r="483" ht="15.75" customHeight="1" s="25"/>
    <row r="484" ht="15.75" customHeight="1" s="25"/>
    <row r="485" ht="15.75" customHeight="1" s="25"/>
    <row r="486" ht="15.75" customHeight="1" s="25"/>
    <row r="487" ht="15.75" customHeight="1" s="25"/>
    <row r="488" ht="15.75" customHeight="1" s="25"/>
    <row r="489" ht="15.75" customHeight="1" s="25"/>
    <row r="490" ht="15.75" customHeight="1" s="25"/>
    <row r="491" ht="15.75" customHeight="1" s="25"/>
    <row r="492" ht="15.75" customHeight="1" s="25"/>
    <row r="493" ht="15.75" customHeight="1" s="25"/>
    <row r="494" ht="15.75" customHeight="1" s="25"/>
    <row r="495" ht="15.75" customHeight="1" s="25"/>
    <row r="496" ht="15.75" customHeight="1" s="25"/>
    <row r="497" ht="15.75" customHeight="1" s="25"/>
    <row r="498" ht="15.75" customHeight="1" s="25"/>
    <row r="499" ht="15.75" customHeight="1" s="25"/>
    <row r="500" ht="15.75" customHeight="1" s="25"/>
    <row r="501" ht="15.75" customHeight="1" s="25"/>
    <row r="502" ht="15.75" customHeight="1" s="25"/>
    <row r="503" ht="15.75" customHeight="1" s="25"/>
    <row r="504" ht="15.75" customHeight="1" s="25"/>
    <row r="505" ht="15.75" customHeight="1" s="25"/>
    <row r="506" ht="15.75" customHeight="1" s="25"/>
    <row r="507" ht="15.75" customHeight="1" s="25"/>
    <row r="508" ht="15.75" customHeight="1" s="25"/>
    <row r="509" ht="15.75" customHeight="1" s="25"/>
    <row r="510" ht="15.75" customHeight="1" s="25"/>
    <row r="511" ht="15.75" customHeight="1" s="25"/>
    <row r="512" ht="15.75" customHeight="1" s="25"/>
    <row r="513" ht="15.75" customHeight="1" s="25"/>
    <row r="514" ht="15.75" customHeight="1" s="25"/>
    <row r="515" ht="15.75" customHeight="1" s="25"/>
    <row r="516" ht="15.75" customHeight="1" s="25"/>
    <row r="517" ht="15.75" customHeight="1" s="25"/>
    <row r="518" ht="15.75" customHeight="1" s="25"/>
    <row r="519" ht="15.75" customHeight="1" s="25"/>
    <row r="520" ht="15.75" customHeight="1" s="25"/>
    <row r="521" ht="15.75" customHeight="1" s="25"/>
    <row r="522" ht="15.75" customHeight="1" s="25"/>
    <row r="523" ht="15.75" customHeight="1" s="25"/>
    <row r="524" ht="15.75" customHeight="1" s="25"/>
    <row r="525" ht="15.75" customHeight="1" s="25"/>
    <row r="526" ht="15.75" customHeight="1" s="25"/>
    <row r="527" ht="15.75" customHeight="1" s="25"/>
    <row r="528" ht="15.75" customHeight="1" s="25"/>
    <row r="529" ht="15.75" customHeight="1" s="25"/>
    <row r="530" ht="15.75" customHeight="1" s="25"/>
    <row r="531" ht="15.75" customHeight="1" s="25"/>
    <row r="532" ht="15.75" customHeight="1" s="25"/>
    <row r="533" ht="15.75" customHeight="1" s="25"/>
    <row r="534" ht="15.75" customHeight="1" s="25"/>
    <row r="535" ht="15.75" customHeight="1" s="25"/>
    <row r="536" ht="15.75" customHeight="1" s="25"/>
    <row r="537" ht="15.75" customHeight="1" s="25"/>
    <row r="538" ht="15.75" customHeight="1" s="25"/>
    <row r="539" ht="15.75" customHeight="1" s="25"/>
    <row r="540" ht="15.75" customHeight="1" s="25"/>
    <row r="541" ht="15.75" customHeight="1" s="25"/>
    <row r="542" ht="15.75" customHeight="1" s="25"/>
    <row r="543" ht="15.75" customHeight="1" s="25"/>
    <row r="544" ht="15.75" customHeight="1" s="25"/>
    <row r="545" ht="15.75" customHeight="1" s="25"/>
    <row r="546" ht="15.75" customHeight="1" s="25"/>
    <row r="547" ht="15.75" customHeight="1" s="25"/>
    <row r="548" ht="15.75" customHeight="1" s="25"/>
    <row r="549" ht="15.75" customHeight="1" s="25"/>
    <row r="550" ht="15.75" customHeight="1" s="25"/>
    <row r="551" ht="15.75" customHeight="1" s="25"/>
    <row r="552" ht="15.75" customHeight="1" s="25"/>
    <row r="553" ht="15.75" customHeight="1" s="25"/>
    <row r="554" ht="15.75" customHeight="1" s="25"/>
    <row r="555" ht="15.75" customHeight="1" s="25"/>
    <row r="556" ht="15.75" customHeight="1" s="25"/>
    <row r="557" ht="15.75" customHeight="1" s="25"/>
    <row r="558" ht="15.75" customHeight="1" s="25"/>
    <row r="559" ht="15.75" customHeight="1" s="25"/>
    <row r="560" ht="15.75" customHeight="1" s="25"/>
    <row r="561" ht="15.75" customHeight="1" s="25"/>
    <row r="562" ht="15.75" customHeight="1" s="25"/>
    <row r="563" ht="15.75" customHeight="1" s="25"/>
    <row r="564" ht="15.75" customHeight="1" s="25"/>
    <row r="565" ht="15.75" customHeight="1" s="25"/>
    <row r="566" ht="15.75" customHeight="1" s="25"/>
    <row r="567" ht="15.75" customHeight="1" s="25"/>
    <row r="568" ht="15.75" customHeight="1" s="25"/>
    <row r="569" ht="15.75" customHeight="1" s="25"/>
    <row r="570" ht="15.75" customHeight="1" s="25"/>
    <row r="571" ht="15.75" customHeight="1" s="25"/>
    <row r="572" ht="15.75" customHeight="1" s="25"/>
    <row r="573" ht="15.75" customHeight="1" s="25"/>
    <row r="574" ht="15.75" customHeight="1" s="25"/>
    <row r="575" ht="15.75" customHeight="1" s="25"/>
    <row r="576" ht="15.75" customHeight="1" s="25"/>
    <row r="577" ht="15.75" customHeight="1" s="25"/>
    <row r="578" ht="15.75" customHeight="1" s="25"/>
    <row r="579" ht="15.75" customHeight="1" s="25"/>
    <row r="580" ht="15.75" customHeight="1" s="25"/>
    <row r="581" ht="15.75" customHeight="1" s="25"/>
    <row r="582" ht="15.75" customHeight="1" s="25"/>
    <row r="583" ht="15.75" customHeight="1" s="25"/>
    <row r="584" ht="15.75" customHeight="1" s="25"/>
    <row r="585" ht="15.75" customHeight="1" s="25"/>
    <row r="586" ht="15.75" customHeight="1" s="25"/>
    <row r="587" ht="15.75" customHeight="1" s="25"/>
    <row r="588" ht="15.75" customHeight="1" s="25"/>
    <row r="589" ht="15.75" customHeight="1" s="25"/>
    <row r="590" ht="15.75" customHeight="1" s="25"/>
    <row r="591" ht="15.75" customHeight="1" s="25"/>
    <row r="592" ht="15.75" customHeight="1" s="25"/>
    <row r="593" ht="15.75" customHeight="1" s="25"/>
    <row r="594" ht="15.75" customHeight="1" s="25"/>
    <row r="595" ht="15.75" customHeight="1" s="25"/>
    <row r="596" ht="15.75" customHeight="1" s="25"/>
    <row r="597" ht="15.75" customHeight="1" s="25"/>
    <row r="598" ht="15.75" customHeight="1" s="25"/>
    <row r="599" ht="15.75" customHeight="1" s="25"/>
    <row r="600" ht="15.75" customHeight="1" s="25"/>
    <row r="601" ht="15.75" customHeight="1" s="25"/>
    <row r="602" ht="15.75" customHeight="1" s="25"/>
    <row r="603" ht="15.75" customHeight="1" s="25"/>
    <row r="604" ht="15.75" customHeight="1" s="25"/>
    <row r="605" ht="15.75" customHeight="1" s="25"/>
    <row r="606" ht="15.75" customHeight="1" s="25"/>
    <row r="607" ht="15.75" customHeight="1" s="25"/>
    <row r="608" ht="15.75" customHeight="1" s="25"/>
    <row r="609" ht="15.75" customHeight="1" s="25"/>
    <row r="610" ht="15.75" customHeight="1" s="25"/>
    <row r="611" ht="15.75" customHeight="1" s="25"/>
    <row r="612" ht="15.75" customHeight="1" s="25"/>
    <row r="613" ht="15.75" customHeight="1" s="25"/>
    <row r="614" ht="15.75" customHeight="1" s="25"/>
    <row r="615" ht="15.75" customHeight="1" s="25"/>
    <row r="616" ht="15.75" customHeight="1" s="25"/>
    <row r="617" ht="15.75" customHeight="1" s="25"/>
    <row r="618" ht="15.75" customHeight="1" s="25"/>
    <row r="619" ht="15.75" customHeight="1" s="25"/>
    <row r="620" ht="15.75" customHeight="1" s="25"/>
    <row r="621" ht="15.75" customHeight="1" s="25"/>
    <row r="622" ht="15.75" customHeight="1" s="25"/>
    <row r="623" ht="15.75" customHeight="1" s="25"/>
    <row r="624" ht="15.75" customHeight="1" s="25"/>
    <row r="625" ht="15.75" customHeight="1" s="25"/>
    <row r="626" ht="15.75" customHeight="1" s="25"/>
    <row r="627" ht="15.75" customHeight="1" s="25"/>
    <row r="628" ht="15.75" customHeight="1" s="25"/>
    <row r="629" ht="15.75" customHeight="1" s="25"/>
    <row r="630" ht="15.75" customHeight="1" s="25"/>
    <row r="631" ht="15.75" customHeight="1" s="25"/>
    <row r="632" ht="15.75" customHeight="1" s="25"/>
    <row r="633" ht="15.75" customHeight="1" s="25"/>
    <row r="634" ht="15.75" customHeight="1" s="25"/>
    <row r="635" ht="15.75" customHeight="1" s="25"/>
    <row r="636" ht="15.75" customHeight="1" s="25"/>
    <row r="637" ht="15.75" customHeight="1" s="25"/>
    <row r="638" ht="15.75" customHeight="1" s="25"/>
    <row r="639" ht="15.75" customHeight="1" s="25"/>
    <row r="640" ht="15.75" customHeight="1" s="25"/>
    <row r="641" ht="15.75" customHeight="1" s="25"/>
    <row r="642" ht="15.75" customHeight="1" s="25"/>
    <row r="643" ht="15.75" customHeight="1" s="25"/>
    <row r="644" ht="15.75" customHeight="1" s="25"/>
    <row r="645" ht="15.75" customHeight="1" s="25"/>
    <row r="646" ht="15.75" customHeight="1" s="25"/>
    <row r="647" ht="15.75" customHeight="1" s="25"/>
    <row r="648" ht="15.75" customHeight="1" s="25"/>
    <row r="649" ht="15.75" customHeight="1" s="25"/>
    <row r="650" ht="15.75" customHeight="1" s="25"/>
    <row r="651" ht="15.75" customHeight="1" s="25"/>
    <row r="652" ht="15.75" customHeight="1" s="25"/>
    <row r="653" ht="15.75" customHeight="1" s="25"/>
    <row r="654" ht="15.75" customHeight="1" s="25"/>
    <row r="655" ht="15.75" customHeight="1" s="25"/>
    <row r="656" ht="15.75" customHeight="1" s="25"/>
    <row r="657" ht="15.75" customHeight="1" s="25"/>
    <row r="658" ht="15.75" customHeight="1" s="25"/>
    <row r="659" ht="15.75" customHeight="1" s="25"/>
    <row r="660" ht="15.75" customHeight="1" s="25"/>
    <row r="661" ht="15.75" customHeight="1" s="25"/>
    <row r="662" ht="15.75" customHeight="1" s="25"/>
    <row r="663" ht="15.75" customHeight="1" s="25"/>
    <row r="664" ht="15.75" customHeight="1" s="25"/>
    <row r="665" ht="15.75" customHeight="1" s="25"/>
    <row r="666" ht="15.75" customHeight="1" s="25"/>
    <row r="667" ht="15.75" customHeight="1" s="25"/>
    <row r="668" ht="15.75" customHeight="1" s="25"/>
    <row r="669" ht="15.75" customHeight="1" s="25"/>
    <row r="670" ht="15.75" customHeight="1" s="25"/>
    <row r="671" ht="15.75" customHeight="1" s="25"/>
    <row r="672" ht="15.75" customHeight="1" s="25"/>
    <row r="673" ht="15.75" customHeight="1" s="25"/>
    <row r="674" ht="15.75" customHeight="1" s="25"/>
    <row r="675" ht="15.75" customHeight="1" s="25"/>
    <row r="676" ht="15.75" customHeight="1" s="25"/>
    <row r="677" ht="15.75" customHeight="1" s="25"/>
    <row r="678" ht="15.75" customHeight="1" s="25"/>
    <row r="679" ht="15.75" customHeight="1" s="25"/>
    <row r="680" ht="15.75" customHeight="1" s="25"/>
    <row r="681" ht="15.75" customHeight="1" s="25"/>
    <row r="682" ht="15.75" customHeight="1" s="25"/>
    <row r="683" ht="15.75" customHeight="1" s="25"/>
    <row r="684" ht="15.75" customHeight="1" s="25"/>
    <row r="685" ht="15.75" customHeight="1" s="25"/>
    <row r="686" ht="15.75" customHeight="1" s="25"/>
    <row r="687" ht="15.75" customHeight="1" s="25"/>
    <row r="688" ht="15.75" customHeight="1" s="25"/>
    <row r="689" ht="15.75" customHeight="1" s="25"/>
    <row r="690" ht="15.75" customHeight="1" s="25"/>
    <row r="691" ht="15.75" customHeight="1" s="25"/>
    <row r="692" ht="15.75" customHeight="1" s="25"/>
    <row r="693" ht="15.75" customHeight="1" s="25"/>
    <row r="694" ht="15.75" customHeight="1" s="25"/>
    <row r="695" ht="15.75" customHeight="1" s="25"/>
    <row r="696" ht="15.75" customHeight="1" s="25"/>
    <row r="697" ht="15.75" customHeight="1" s="25"/>
    <row r="698" ht="15.75" customHeight="1" s="25"/>
    <row r="699" ht="15.75" customHeight="1" s="25"/>
    <row r="700" ht="15.75" customHeight="1" s="25"/>
    <row r="701" ht="15.75" customHeight="1" s="25"/>
    <row r="702" ht="15.75" customHeight="1" s="25"/>
    <row r="703" ht="15.75" customHeight="1" s="25"/>
    <row r="704" ht="15.75" customHeight="1" s="25"/>
    <row r="705" ht="15.75" customHeight="1" s="25"/>
    <row r="706" ht="15.75" customHeight="1" s="25"/>
    <row r="707" ht="15.75" customHeight="1" s="25"/>
    <row r="708" ht="15.75" customHeight="1" s="25"/>
    <row r="709" ht="15.75" customHeight="1" s="25"/>
    <row r="710" ht="15.75" customHeight="1" s="25"/>
    <row r="711" ht="15.75" customHeight="1" s="25"/>
    <row r="712" ht="15.75" customHeight="1" s="25"/>
    <row r="713" ht="15.75" customHeight="1" s="25"/>
    <row r="714" ht="15.75" customHeight="1" s="25"/>
    <row r="715" ht="15.75" customHeight="1" s="25"/>
    <row r="716" ht="15.75" customHeight="1" s="25"/>
    <row r="717" ht="15.75" customHeight="1" s="25"/>
    <row r="718" ht="15.75" customHeight="1" s="25"/>
    <row r="719" ht="15.75" customHeight="1" s="25"/>
    <row r="720" ht="15.75" customHeight="1" s="25"/>
    <row r="721" ht="15.75" customHeight="1" s="25"/>
    <row r="722" ht="15.75" customHeight="1" s="25"/>
    <row r="723" ht="15.75" customHeight="1" s="25"/>
    <row r="724" ht="15.75" customHeight="1" s="25"/>
    <row r="725" ht="15.75" customHeight="1" s="25"/>
    <row r="726" ht="15.75" customHeight="1" s="25"/>
    <row r="727" ht="15.75" customHeight="1" s="25"/>
    <row r="728" ht="15.75" customHeight="1" s="25"/>
    <row r="729" ht="15.75" customHeight="1" s="25"/>
    <row r="730" ht="15.75" customHeight="1" s="25"/>
    <row r="731" ht="15.75" customHeight="1" s="25"/>
    <row r="732" ht="15.75" customHeight="1" s="25"/>
    <row r="733" ht="15.75" customHeight="1" s="25"/>
    <row r="734" ht="15.75" customHeight="1" s="25"/>
    <row r="735" ht="15.75" customHeight="1" s="25"/>
    <row r="736" ht="15.75" customHeight="1" s="25"/>
    <row r="737" ht="15.75" customHeight="1" s="25"/>
    <row r="738" ht="15.75" customHeight="1" s="25"/>
    <row r="739" ht="15.75" customHeight="1" s="25"/>
    <row r="740" ht="15.75" customHeight="1" s="25"/>
    <row r="741" ht="15.75" customHeight="1" s="25"/>
    <row r="742" ht="15.75" customHeight="1" s="25"/>
    <row r="743" ht="15.75" customHeight="1" s="25"/>
    <row r="744" ht="15.75" customHeight="1" s="25"/>
    <row r="745" ht="15.75" customHeight="1" s="25"/>
    <row r="746" ht="15.75" customHeight="1" s="25"/>
    <row r="747" ht="15.75" customHeight="1" s="25"/>
    <row r="748" ht="15.75" customHeight="1" s="25"/>
    <row r="749" ht="15.75" customHeight="1" s="25"/>
    <row r="750" ht="15.75" customHeight="1" s="25"/>
    <row r="751" ht="15.75" customHeight="1" s="25"/>
    <row r="752" ht="15.75" customHeight="1" s="25"/>
    <row r="753" ht="15.75" customHeight="1" s="25"/>
    <row r="754" ht="15.75" customHeight="1" s="25"/>
    <row r="755" ht="15.75" customHeight="1" s="25"/>
    <row r="756" ht="15.75" customHeight="1" s="25"/>
    <row r="757" ht="15.75" customHeight="1" s="25"/>
    <row r="758" ht="15.75" customHeight="1" s="25"/>
    <row r="759" ht="15.75" customHeight="1" s="25"/>
    <row r="760" ht="15.75" customHeight="1" s="25"/>
    <row r="761" ht="15.75" customHeight="1" s="25"/>
    <row r="762" ht="15.75" customHeight="1" s="25"/>
    <row r="763" ht="15.75" customHeight="1" s="25"/>
    <row r="764" ht="15.75" customHeight="1" s="25"/>
    <row r="765" ht="15.75" customHeight="1" s="25"/>
    <row r="766" ht="15.75" customHeight="1" s="25"/>
    <row r="767" ht="15.75" customHeight="1" s="25"/>
    <row r="768" ht="15.75" customHeight="1" s="25"/>
    <row r="769" ht="15.75" customHeight="1" s="25"/>
    <row r="770" ht="15.75" customHeight="1" s="25"/>
    <row r="771" ht="15.75" customHeight="1" s="25"/>
    <row r="772" ht="15.75" customHeight="1" s="25"/>
    <row r="773" ht="15.75" customHeight="1" s="25"/>
    <row r="774" ht="15.75" customHeight="1" s="25"/>
    <row r="775" ht="15.75" customHeight="1" s="25"/>
    <row r="776" ht="15.75" customHeight="1" s="25"/>
    <row r="777" ht="15.75" customHeight="1" s="25"/>
    <row r="778" ht="15.75" customHeight="1" s="25"/>
    <row r="779" ht="15.75" customHeight="1" s="25"/>
    <row r="780" ht="15.75" customHeight="1" s="25"/>
    <row r="781" ht="15.75" customHeight="1" s="25"/>
    <row r="782" ht="15.75" customHeight="1" s="25"/>
    <row r="783" ht="15.75" customHeight="1" s="25"/>
    <row r="784" ht="15.75" customHeight="1" s="25"/>
    <row r="785" ht="15.75" customHeight="1" s="25"/>
    <row r="786" ht="15.75" customHeight="1" s="25"/>
    <row r="787" ht="15.75" customHeight="1" s="25"/>
    <row r="788" ht="15.75" customHeight="1" s="25"/>
    <row r="789" ht="15.75" customHeight="1" s="25"/>
    <row r="790" ht="15.75" customHeight="1" s="25"/>
    <row r="791" ht="15.75" customHeight="1" s="25"/>
    <row r="792" ht="15.75" customHeight="1" s="25"/>
    <row r="793" ht="15.75" customHeight="1" s="25"/>
    <row r="794" ht="15.75" customHeight="1" s="25"/>
    <row r="795" ht="15.75" customHeight="1" s="25"/>
    <row r="796" ht="15.75" customHeight="1" s="25"/>
    <row r="797" ht="15.75" customHeight="1" s="25"/>
    <row r="798" ht="15.75" customHeight="1" s="25"/>
    <row r="799" ht="15.75" customHeight="1" s="25"/>
    <row r="800" ht="15.75" customHeight="1" s="25"/>
    <row r="801" ht="15.75" customHeight="1" s="25"/>
    <row r="802" ht="15.75" customHeight="1" s="25"/>
    <row r="803" ht="15.75" customHeight="1" s="25"/>
    <row r="804" ht="15.75" customHeight="1" s="25"/>
    <row r="805" ht="15.75" customHeight="1" s="25"/>
    <row r="806" ht="15.75" customHeight="1" s="25"/>
    <row r="807" ht="15.75" customHeight="1" s="25"/>
    <row r="808" ht="15.75" customHeight="1" s="25"/>
    <row r="809" ht="15.75" customHeight="1" s="25"/>
    <row r="810" ht="15.75" customHeight="1" s="25"/>
    <row r="811" ht="15.75" customHeight="1" s="25"/>
    <row r="812" ht="15.75" customHeight="1" s="25"/>
    <row r="813" ht="15.75" customHeight="1" s="25"/>
    <row r="814" ht="15.75" customHeight="1" s="25"/>
    <row r="815" ht="15.75" customHeight="1" s="25"/>
    <row r="816" ht="15.75" customHeight="1" s="25"/>
    <row r="817" ht="15.75" customHeight="1" s="25"/>
    <row r="818" ht="15.75" customHeight="1" s="25"/>
    <row r="819" ht="15.75" customHeight="1" s="25"/>
    <row r="820" ht="15.75" customHeight="1" s="25"/>
    <row r="821" ht="15.75" customHeight="1" s="25"/>
    <row r="822" ht="15.75" customHeight="1" s="25"/>
    <row r="823" ht="15.75" customHeight="1" s="25"/>
    <row r="824" ht="15.75" customHeight="1" s="25"/>
    <row r="825" ht="15.75" customHeight="1" s="25"/>
    <row r="826" ht="15.75" customHeight="1" s="25"/>
    <row r="827" ht="15.75" customHeight="1" s="25"/>
    <row r="828" ht="15.75" customHeight="1" s="25"/>
    <row r="829" ht="15.75" customHeight="1" s="25"/>
    <row r="830" ht="15.75" customHeight="1" s="25"/>
    <row r="831" ht="15.75" customHeight="1" s="25"/>
    <row r="832" ht="15.75" customHeight="1" s="25"/>
    <row r="833" ht="15.75" customHeight="1" s="25"/>
    <row r="834" ht="15.75" customHeight="1" s="25"/>
    <row r="835" ht="15.75" customHeight="1" s="25"/>
    <row r="836" ht="15.75" customHeight="1" s="25"/>
    <row r="837" ht="15.75" customHeight="1" s="25"/>
    <row r="838" ht="15.75" customHeight="1" s="25"/>
    <row r="839" ht="15.75" customHeight="1" s="25"/>
    <row r="840" ht="15.75" customHeight="1" s="25"/>
    <row r="841" ht="15.75" customHeight="1" s="25"/>
    <row r="842" ht="15.75" customHeight="1" s="25"/>
    <row r="843" ht="15.75" customHeight="1" s="25"/>
    <row r="844" ht="15.75" customHeight="1" s="25"/>
    <row r="845" ht="15.75" customHeight="1" s="25"/>
    <row r="846" ht="15.75" customHeight="1" s="25"/>
    <row r="847" ht="15.75" customHeight="1" s="25"/>
    <row r="848" ht="15.75" customHeight="1" s="25"/>
    <row r="849" ht="15.75" customHeight="1" s="25"/>
    <row r="850" ht="15.75" customHeight="1" s="25"/>
    <row r="851" ht="15.75" customHeight="1" s="25"/>
    <row r="852" ht="15.75" customHeight="1" s="25"/>
    <row r="853" ht="15.75" customHeight="1" s="25"/>
    <row r="854" ht="15.75" customHeight="1" s="25"/>
    <row r="855" ht="15.75" customHeight="1" s="25"/>
    <row r="856" ht="15.75" customHeight="1" s="25"/>
    <row r="857" ht="15.75" customHeight="1" s="25"/>
    <row r="858" ht="15.75" customHeight="1" s="25"/>
    <row r="859" ht="15.75" customHeight="1" s="25"/>
    <row r="860" ht="15.75" customHeight="1" s="25"/>
    <row r="861" ht="15.75" customHeight="1" s="25"/>
    <row r="862" ht="15.75" customHeight="1" s="25"/>
    <row r="863" ht="15.75" customHeight="1" s="25"/>
    <row r="864" ht="15.75" customHeight="1" s="25"/>
    <row r="865" ht="15.75" customHeight="1" s="25"/>
    <row r="866" ht="15.75" customHeight="1" s="25"/>
    <row r="867" ht="15.75" customHeight="1" s="25"/>
    <row r="868" ht="15.75" customHeight="1" s="25"/>
    <row r="869" ht="15.75" customHeight="1" s="25"/>
    <row r="870" ht="15.75" customHeight="1" s="25"/>
    <row r="871" ht="15.75" customHeight="1" s="25"/>
    <row r="872" ht="15.75" customHeight="1" s="25"/>
    <row r="873" ht="15.75" customHeight="1" s="25"/>
    <row r="874" ht="15.75" customHeight="1" s="25"/>
    <row r="875" ht="15.75" customHeight="1" s="25"/>
    <row r="876" ht="15.75" customHeight="1" s="25"/>
    <row r="877" ht="15.75" customHeight="1" s="25"/>
    <row r="878" ht="15.75" customHeight="1" s="25"/>
    <row r="879" ht="15.75" customHeight="1" s="25"/>
    <row r="880" ht="15.75" customHeight="1" s="25"/>
    <row r="881" ht="15.75" customHeight="1" s="25"/>
    <row r="882" ht="15.75" customHeight="1" s="25"/>
    <row r="883" ht="15.75" customHeight="1" s="25"/>
    <row r="884" ht="15.75" customHeight="1" s="25"/>
    <row r="885" ht="15.75" customHeight="1" s="25"/>
    <row r="886" ht="15.75" customHeight="1" s="25"/>
    <row r="887" ht="15.75" customHeight="1" s="25"/>
    <row r="888" ht="15.75" customHeight="1" s="25"/>
    <row r="889" ht="15.75" customHeight="1" s="25"/>
    <row r="890" ht="15.75" customHeight="1" s="25"/>
    <row r="891" ht="15.75" customHeight="1" s="25"/>
    <row r="892" ht="15.75" customHeight="1" s="25"/>
    <row r="893" ht="15.75" customHeight="1" s="25"/>
    <row r="894" ht="15.75" customHeight="1" s="25"/>
    <row r="895" ht="15.75" customHeight="1" s="25"/>
    <row r="896" ht="15.75" customHeight="1" s="25"/>
    <row r="897" ht="15.75" customHeight="1" s="25"/>
    <row r="898" ht="15.75" customHeight="1" s="25"/>
    <row r="899" ht="15.75" customHeight="1" s="25"/>
    <row r="900" ht="15.75" customHeight="1" s="25"/>
    <row r="901" ht="15.75" customHeight="1" s="25"/>
    <row r="902" ht="15.75" customHeight="1" s="25"/>
    <row r="903" ht="15.75" customHeight="1" s="25"/>
    <row r="904" ht="15.75" customHeight="1" s="25"/>
    <row r="905" ht="15.75" customHeight="1" s="25"/>
    <row r="906" ht="15.75" customHeight="1" s="25"/>
    <row r="907" ht="15.75" customHeight="1" s="25"/>
    <row r="908" ht="15.75" customHeight="1" s="25"/>
    <row r="909" ht="15.75" customHeight="1" s="25"/>
    <row r="910" ht="15.75" customHeight="1" s="25"/>
    <row r="911" ht="15.75" customHeight="1" s="25"/>
    <row r="912" ht="15.75" customHeight="1" s="25"/>
    <row r="913" ht="15.75" customHeight="1" s="25"/>
    <row r="914" ht="15.75" customHeight="1" s="25"/>
    <row r="915" ht="15.75" customHeight="1" s="25"/>
    <row r="916" ht="15.75" customHeight="1" s="25"/>
    <row r="917" ht="15.75" customHeight="1" s="25"/>
    <row r="918" ht="15.75" customHeight="1" s="25"/>
    <row r="919" ht="15.75" customHeight="1" s="25"/>
    <row r="920" ht="15.75" customHeight="1" s="25"/>
    <row r="921" ht="15.75" customHeight="1" s="25"/>
    <row r="922" ht="15.75" customHeight="1" s="25"/>
    <row r="923" ht="15.75" customHeight="1" s="25"/>
    <row r="924" ht="15.75" customHeight="1" s="25"/>
    <row r="925" ht="15.75" customHeight="1" s="25"/>
    <row r="926" ht="15.75" customHeight="1" s="25"/>
    <row r="927" ht="15.75" customHeight="1" s="25"/>
    <row r="928" ht="15.75" customHeight="1" s="25"/>
    <row r="929" ht="15.75" customHeight="1" s="25"/>
    <row r="930" ht="15.75" customHeight="1" s="25"/>
    <row r="931" ht="15.75" customHeight="1" s="25"/>
    <row r="932" ht="15.75" customHeight="1" s="25"/>
    <row r="933" ht="15.75" customHeight="1" s="25"/>
    <row r="934" ht="15.75" customHeight="1" s="25"/>
    <row r="935" ht="15.75" customHeight="1" s="25"/>
    <row r="936" ht="15.75" customHeight="1" s="25"/>
    <row r="937" ht="15.75" customHeight="1" s="25"/>
    <row r="938" ht="15.75" customHeight="1" s="25"/>
    <row r="939" ht="15.75" customHeight="1" s="25"/>
    <row r="940" ht="15.75" customHeight="1" s="25"/>
    <row r="941" ht="15.75" customHeight="1" s="25"/>
    <row r="942" ht="15.75" customHeight="1" s="25"/>
    <row r="943" ht="15.75" customHeight="1" s="25"/>
    <row r="944" ht="15.75" customHeight="1" s="25"/>
    <row r="945" ht="15.75" customHeight="1" s="25"/>
    <row r="946" ht="15.75" customHeight="1" s="25"/>
    <row r="947" ht="15.75" customHeight="1" s="25"/>
    <row r="948" ht="15.75" customHeight="1" s="25"/>
    <row r="949" ht="15.75" customHeight="1" s="25"/>
    <row r="950" ht="15.75" customHeight="1" s="25"/>
    <row r="951" ht="15.75" customHeight="1" s="25"/>
    <row r="952" ht="15.75" customHeight="1" s="25"/>
    <row r="953" ht="15.75" customHeight="1" s="25"/>
    <row r="954" ht="15.75" customHeight="1" s="25"/>
    <row r="955" ht="15.75" customHeight="1" s="25"/>
    <row r="956" ht="15.75" customHeight="1" s="25"/>
    <row r="957" ht="15.75" customHeight="1" s="25"/>
    <row r="958" ht="15.75" customHeight="1" s="25"/>
    <row r="959" ht="15.75" customHeight="1" s="25"/>
    <row r="960" ht="15.75" customHeight="1" s="25"/>
    <row r="961" ht="15.75" customHeight="1" s="25"/>
    <row r="962" ht="15.75" customHeight="1" s="25"/>
    <row r="963" ht="15.75" customHeight="1" s="25"/>
    <row r="964" ht="15.75" customHeight="1" s="25"/>
    <row r="965" ht="15.75" customHeight="1" s="25"/>
    <row r="966" ht="15.75" customHeight="1" s="25"/>
    <row r="967" ht="15.75" customHeight="1" s="25"/>
    <row r="968" ht="15.75" customHeight="1" s="25"/>
    <row r="969" ht="15.75" customHeight="1" s="25"/>
    <row r="970" ht="15.75" customHeight="1" s="25"/>
    <row r="971" ht="15.75" customHeight="1" s="25"/>
    <row r="972" ht="15.75" customHeight="1" s="25"/>
    <row r="973" ht="15.75" customHeight="1" s="25"/>
    <row r="974" ht="15.75" customHeight="1" s="25"/>
    <row r="975" ht="15.75" customHeight="1" s="25"/>
    <row r="976" ht="15.75" customHeight="1" s="25"/>
    <row r="977" ht="15.75" customHeight="1" s="25"/>
    <row r="978" ht="15.75" customHeight="1" s="25"/>
    <row r="979" ht="15.75" customHeight="1" s="25"/>
    <row r="980" ht="15.75" customHeight="1" s="25"/>
    <row r="981" ht="15.75" customHeight="1" s="25"/>
    <row r="982" ht="15.75" customHeight="1" s="25"/>
    <row r="983" ht="15.75" customHeight="1" s="25"/>
    <row r="984" ht="15.75" customHeight="1" s="25"/>
    <row r="985" ht="15.75" customHeight="1" s="25"/>
    <row r="986" ht="15.75" customHeight="1" s="25"/>
    <row r="987" ht="15.75" customHeight="1" s="25"/>
    <row r="988" ht="15.75" customHeight="1" s="25"/>
    <row r="989" ht="15.75" customHeight="1" s="25"/>
    <row r="990" ht="15.75" customHeight="1" s="25"/>
    <row r="991" ht="15.75" customHeight="1" s="25"/>
    <row r="992" ht="15.75" customHeight="1" s="25"/>
    <row r="993" ht="15.75" customHeight="1" s="25"/>
    <row r="994" ht="15.75" customHeight="1" s="25"/>
    <row r="995" ht="15.75" customHeight="1" s="25"/>
    <row r="996" ht="15.75" customHeight="1" s="25"/>
    <row r="997" ht="15.75" customHeight="1" s="25"/>
    <row r="998" ht="15.75" customHeight="1" s="25"/>
    <row r="999" ht="15.75" customHeight="1" s="25"/>
    <row r="1000" ht="15.75" customHeight="1" s="25"/>
  </sheetData>
  <mergeCells count="11">
    <mergeCell ref="B10:D10"/>
    <mergeCell ref="A1:D1"/>
    <mergeCell ref="B11:D11"/>
    <mergeCell ref="B3:D3"/>
    <mergeCell ref="B5:D5"/>
    <mergeCell ref="B8:D8"/>
    <mergeCell ref="B4:D4"/>
    <mergeCell ref="B9:D9"/>
    <mergeCell ref="B12:D12"/>
    <mergeCell ref="B7:D7"/>
    <mergeCell ref="B6:D6"/>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L17"/>
  <sheetViews>
    <sheetView showFormulas="0" showGridLines="1" showRowColHeaders="1" showZeros="1" rightToLeft="0"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C5" activeCellId="0" sqref="C5"/>
    </sheetView>
  </sheetViews>
  <sheetFormatPr baseColWidth="8" defaultColWidth="14.43359375" defaultRowHeight="15" zeroHeight="0" outlineLevelRow="0"/>
  <cols>
    <col width="6" customWidth="1" style="24" min="1" max="1"/>
    <col width="22" customWidth="1" style="24" min="2" max="2"/>
    <col width="24" customWidth="1" style="24" min="3" max="3"/>
    <col width="10" customWidth="1" style="24" min="4" max="4"/>
    <col width="16" customWidth="1" style="24" min="5" max="5"/>
    <col width="10" customWidth="1" style="24" min="6" max="6"/>
    <col width="12" customWidth="1" style="24" min="7" max="7"/>
    <col width="55" customWidth="1" style="24" min="8" max="8"/>
    <col width="40" customWidth="1" style="24" min="9" max="9"/>
    <col width="34" customWidth="1" style="24" min="10" max="10"/>
    <col width="14" customWidth="1" style="24" min="11" max="11"/>
    <col width="42" customWidth="1" style="24" min="12" max="12"/>
    <col width="8.710000000000001" customWidth="1" style="24" min="13" max="26"/>
  </cols>
  <sheetData>
    <row r="1" ht="25.5" customHeight="1" s="25">
      <c r="A1" s="26" t="inlineStr">
        <is>
          <t>Events</t>
        </is>
      </c>
    </row>
    <row r="2" ht="30" customHeight="1" s="25">
      <c r="A2" s="29" t="inlineStr">
        <is>
          <t>One row per event. Status says where it stands; the date is when it was built or the date the owner committed to. Grey rows need nothing in Wave 1A.</t>
        </is>
      </c>
    </row>
    <row r="3" ht="15" customHeight="1" s="25"/>
    <row r="4" ht="30" customHeight="1" s="25">
      <c r="A4" s="43" t="inlineStr">
        <is>
          <t>ID</t>
        </is>
      </c>
      <c r="B4" s="43" t="inlineStr">
        <is>
          <t>Event name</t>
        </is>
      </c>
      <c r="C4" s="43" t="inlineStr">
        <is>
          <t>Fired when</t>
        </is>
      </c>
      <c r="D4" s="43" t="inlineStr">
        <is>
          <t>Priority</t>
        </is>
      </c>
      <c r="E4" s="43" t="inlineStr">
        <is>
          <t>Owner</t>
        </is>
      </c>
      <c r="F4" s="43" t="inlineStr">
        <is>
          <t>Status</t>
        </is>
      </c>
      <c r="G4" s="43" t="inlineStr">
        <is>
          <t>Built on / due by</t>
        </is>
      </c>
      <c r="H4" s="43" t="inlineStr">
        <is>
          <t>What must be built</t>
        </is>
      </c>
      <c r="I4" s="43" t="inlineStr">
        <is>
          <t>How to check it is right</t>
        </is>
      </c>
      <c r="J4" s="43" t="inlineStr">
        <is>
          <t>Why it is needed</t>
        </is>
      </c>
      <c r="K4" s="43" t="inlineStr">
        <is>
          <t>Decided in</t>
        </is>
      </c>
      <c r="L4" s="43" t="inlineStr">
        <is>
          <t>Note</t>
        </is>
      </c>
    </row>
    <row r="5" ht="63.75" customHeight="1" s="25">
      <c r="A5" s="44" t="inlineStr">
        <is>
          <t>E1</t>
        </is>
      </c>
      <c r="B5" s="45" t="inlineStr">
        <is>
          <t>recommendation_request</t>
        </is>
      </c>
      <c r="C5" s="45" t="inlineStr">
        <is>
          <t>Any surface asks for a list of items to show</t>
        </is>
      </c>
      <c r="D5" s="45" t="inlineStr">
        <is>
          <t>Blocking</t>
        </is>
      </c>
      <c r="E5" s="45" t="inlineStr">
        <is>
          <t>Allen; Aravinth for fallback lists and the serve log</t>
        </is>
      </c>
      <c r="F5" s="45" t="inlineStr">
        <is>
          <t>To build</t>
        </is>
      </c>
      <c r="G5" s="45" t="n"/>
      <c r="H5" s="45" t="inlineStr">
        <is>
          <t>The service writes one E1 per list it returns, in the engine database, with served_items (item_id, item_type, post_id, product_id, position). SOCO_BE writes recommendationrequests for fallback lists (platform policy_id), and one rec_serve_log row per list request (origin, outcome, elapsed time). The engine sync copies both (X-02).</t>
        </is>
      </c>
      <c r="I5" s="45" t="inlineStr">
        <is>
          <t>One E1 per engine list, and one rec_serve_log row per list request. At least 99% of impressions on engine lists show the item the engine returned at that position (build list ENG-23 V9).</t>
        </is>
      </c>
      <c r="J5" s="45" t="inlineStr">
        <is>
          <t>Creates the request identifier that ties everything else together. Without it, no other event can be linked to a decision.</t>
        </is>
      </c>
      <c r="K5" s="45" t="inlineStr">
        <is>
          <t>E1, X-03</t>
        </is>
      </c>
      <c r="L5" s="45" t="inlineStr">
        <is>
          <t>29 Sep 2026: Engine lists are shown unchanged: no delivered-list record (X-17). Build list ENG-06 (E1) and APP-15 (serve log).</t>
        </is>
      </c>
    </row>
    <row r="6" ht="63.75" customHeight="1" s="25">
      <c r="A6" s="44" t="inlineStr">
        <is>
          <t>E2</t>
        </is>
      </c>
      <c r="B6" s="45" t="inlineStr">
        <is>
          <t>recommendation_impression</t>
        </is>
      </c>
      <c r="C6" s="45" t="inlineStr">
        <is>
          <t>An item is at least 50% on screen</t>
        </is>
      </c>
      <c r="D6" s="45" t="inlineStr">
        <is>
          <t>Blocking</t>
        </is>
      </c>
      <c r="E6" s="45" t="inlineStr">
        <is>
          <t>Aravinth</t>
        </is>
      </c>
      <c r="F6" s="45" t="inlineStr">
        <is>
          <t>Built</t>
        </is>
      </c>
      <c r="G6" s="46" t="n">
        <v>46286</v>
      </c>
      <c r="H6" s="45" t="inlineStr">
        <is>
          <t>Recorded by SOCO_BE as a postevents impression row from the app's batches. One per item per list, sent when the item leaves the screen after being seen, or when the app goes to background, with dwell_ms of the first spell. Not sent again in the same list. Unseen items are not sent. An impression on the post page (surface post_detail) is a page visit, never a card impression or a seen_ids entry.</t>
        </is>
      </c>
      <c r="I6" s="45" t="inlineStr">
        <is>
          <t>Scroll a feed: one event per item that was at least 50% on screen, none for items never reached, none repeated within a request.</t>
        </is>
      </c>
      <c r="J6" s="45" t="inlineStr">
        <is>
          <t>Records what was shown and in what position. This is the comparison the engine learns from, more than the clicks themselves.</t>
        </is>
      </c>
      <c r="K6" s="45" t="inlineStr">
        <is>
          <t>E2, X-04, X-05</t>
        </is>
      </c>
      <c r="L6" s="45" t="inlineStr">
        <is>
          <t>28 Sep 2026: Native event: impression (capture register sheet 4). The engine reads it with its sync (X-02). Post-page check: build list APP-00 point 5.</t>
        </is>
      </c>
    </row>
    <row r="7" ht="38.25" customHeight="1" s="25">
      <c r="A7" s="44" t="inlineStr">
        <is>
          <t>E3</t>
        </is>
      </c>
      <c r="B7" s="45" t="inlineStr">
        <is>
          <t>recommendation_click</t>
        </is>
      </c>
      <c r="C7" s="45" t="inlineStr">
        <is>
          <t>User taps a card</t>
        </is>
      </c>
      <c r="D7" s="45" t="inlineStr">
        <is>
          <t>Blocking</t>
        </is>
      </c>
      <c r="E7" s="45" t="inlineStr">
        <is>
          <t>Aravinth</t>
        </is>
      </c>
      <c r="F7" s="45" t="inlineStr">
        <is>
          <t>Built</t>
        </is>
      </c>
      <c r="G7" s="46" t="n">
        <v>46286</v>
      </c>
      <c r="H7" s="45" t="inlineStr">
        <is>
          <t>A card-level tap that opens post detail (or product detail on a product card) fires E3 alongside the navigation. Taps on like, comment, share or save are E9, not E3.</t>
        </is>
      </c>
      <c r="I7" s="45" t="inlineStr">
        <is>
          <t>Tap an item and confirm the event carries the same request_id as the impression for that item.</t>
        </is>
      </c>
      <c r="J7" s="45" t="inlineStr">
        <is>
          <t>The positive signal. Only meaningful when paired with the impressions that were not clicked.</t>
        </is>
      </c>
      <c r="K7" s="45" t="inlineStr">
        <is>
          <t>E3</t>
        </is>
      </c>
      <c r="L7" s="45" t="inlineStr">
        <is>
          <t>28 Sep 2026: Native event: click (product_click from older builds counts as a click). Read by the engine sync (X-02).</t>
        </is>
      </c>
    </row>
    <row r="8" ht="38.25" customHeight="1" s="25">
      <c r="A8" s="44" t="inlineStr">
        <is>
          <t>E4</t>
        </is>
      </c>
      <c r="B8" s="45" t="inlineStr">
        <is>
          <t>add_to_cart</t>
        </is>
      </c>
      <c r="C8" s="45" t="inlineStr">
        <is>
          <t>User adds a product to cart</t>
        </is>
      </c>
      <c r="D8" s="45" t="inlineStr">
        <is>
          <t>Important</t>
        </is>
      </c>
      <c r="E8" s="45" t="inlineStr">
        <is>
          <t>Aravinth</t>
        </is>
      </c>
      <c r="F8" s="45" t="inlineStr">
        <is>
          <t>Verify</t>
        </is>
      </c>
      <c r="G8" s="46" t="n"/>
      <c r="H8" s="45" t="inlineStr">
        <is>
          <t>Recorded by SOCO_BE after every cart write: add_to_cart for units added and remove_from_cart for units removed, each with variant_id, quantity (units in this action), value and the list that first added the item (carts.ml, X-07).</t>
        </is>
      </c>
      <c r="I8" s="45" t="inlineStr">
        <is>
          <t>Add a product, raise it to 3, lower it to 2, remove it: two add rows (1 and 2 units) and two remove rows (1 and 2 units), all with the first list.</t>
        </is>
      </c>
      <c r="J8" s="45" t="inlineStr">
        <is>
          <t>Links an add-to-cart to the list that showed the product. The engine uses it to measure the product surface (ENG-26) and for product popularity (ENG-17).</t>
        </is>
      </c>
      <c r="K8" s="45" t="inlineStr">
        <is>
          <t>E4, X-07</t>
        </is>
      </c>
      <c r="L8" s="45" t="inlineStr">
        <is>
          <t>28 Sep 2026: Reported built (APP-00 answers Q4). remove_from_cart is stored but carries no model weight in Wave 1A. Build list APP-06.</t>
        </is>
      </c>
    </row>
    <row r="9" ht="38.25" customHeight="1" s="25">
      <c r="A9" s="44" t="inlineStr">
        <is>
          <t>E5</t>
        </is>
      </c>
      <c r="B9" s="45" t="inlineStr">
        <is>
          <t>order_placed</t>
        </is>
      </c>
      <c r="C9" s="45" t="inlineStr">
        <is>
          <t>Once, on successful order creation, whether or not the order has a post_id. Never on a failed or retried save.</t>
        </is>
      </c>
      <c r="D9" s="45" t="inlineStr">
        <is>
          <t>Blocking</t>
        </is>
      </c>
      <c r="E9" s="45" t="inlineStr">
        <is>
          <t>Aravinth</t>
        </is>
      </c>
      <c r="F9" s="45" t="inlineStr">
        <is>
          <t>Verify</t>
        </is>
      </c>
      <c r="G9" s="45" t="n"/>
      <c r="H9" s="45" t="inlineStr">
        <is>
          <t>One purchase row in postevents per order, and the order itself, on successful creation, with or without a post. Incognito orders are recorded too (X-09).</t>
        </is>
      </c>
      <c r="I9" s="45" t="inlineStr">
        <is>
          <t>Place orders with and without a post_id: one event per order in both cases.</t>
        </is>
      </c>
      <c r="J9" s="45" t="inlineStr">
        <is>
          <t>The commercial outcome record in ml_events, for the next wave's learned models. In Wave 1A the engine reads orders directly from the orders collection (ENG-03).</t>
        </is>
      </c>
      <c r="K9" s="45" t="inlineStr">
        <is>
          <t>E5</t>
        </is>
      </c>
      <c r="L9" s="45" t="inlineStr">
        <is>
          <t>28 Sep 2026: Reported built (answers Q5, Q11). Build list APP-07.</t>
        </is>
      </c>
    </row>
    <row r="10" ht="76.5" customHeight="1" s="25">
      <c r="A10" s="44" t="inlineStr">
        <is>
          <t>E6</t>
        </is>
      </c>
      <c r="B10" s="45" t="inlineStr">
        <is>
          <t>order_state_changed</t>
        </is>
      </c>
      <c r="C10" s="45" t="inlineStr">
        <is>
          <t>order_status changes, or another order history event is written (payment, return request, refund)</t>
        </is>
      </c>
      <c r="D10" s="45" t="inlineStr">
        <is>
          <t>Blocking</t>
        </is>
      </c>
      <c r="E10" s="45" t="inlineStr">
        <is>
          <t>Aravinth</t>
        </is>
      </c>
      <c r="F10" s="45" t="inlineStr">
        <is>
          <t>Verify</t>
        </is>
      </c>
      <c r="G10" s="46" t="n"/>
      <c r="H10" s="45" t="inlineStr">
        <is>
          <t>Nothing new to build. Two things are kept apart. The order's current state is orders.order_status. The order's history is orders.tracking_info (existing): one entry per business event, in time order, each with a free-text status and a timestamp (some also a reason), and no event code or actor. Some history events change order_status (accepted, shipped, delivered, cancelled, returned) and some do not (payment, return request, refund). The engine maps each entry to a history event and always takes outcomes from order_status (build list ENG-30 point 5). Returns: there is no Return Requested status. A buyer's request creates a returnrequests record and a 'Return requested' history entry while order_status stays Delivered; the seller's return sets order_status Returned and return_info.returned_at (D1).</t>
        </is>
      </c>
      <c r="I10" s="45" t="inlineStr">
        <is>
          <t>Every code path that writes order_status adds a tracking_info entry. Every entry text maps to a history event, and the engine's daily reconciliation finds no unmatched or contradictory history. The database side was observed on order 6a9fac747498f914bd4a50c8 on 14 Oct 2026 (build list ENG-23 V8).</t>
        </is>
      </c>
      <c r="J10" s="45" t="inlineStr">
        <is>
          <t>The order state history in ml_events, for the next wave's learned models. In Wave 1A the engine reads order states and returns directly from the orders collection (ENG-03).</t>
        </is>
      </c>
      <c r="K10" s="45" t="inlineStr">
        <is>
          <t>E6, X-13, X-18, X-23</t>
        </is>
      </c>
      <c r="L10" s="45" t="inlineStr">
        <is>
          <t>14 Oct 2026: Verified on the platform database (order 6a9fac747498f914bd4a50c8): entries are text plus timestamp, with no actor, so 'who acted' is dropped. Build list APP-08, ENG-30.
29 Sep 2026: tracking_info replaces the status log; entries are added only where a code path writes none. Build list APP-08.</t>
        </is>
      </c>
    </row>
    <row r="11" ht="63.75" customHeight="1" s="25">
      <c r="A11" s="44" t="inlineStr">
        <is>
          <t>E7</t>
        </is>
      </c>
      <c r="B11" s="45" t="inlineStr">
        <is>
          <t>payment_state_changed</t>
        </is>
      </c>
      <c r="C11" s="45" t="inlineStr">
        <is>
          <t>Payment settles, fails or is charged back</t>
        </is>
      </c>
      <c r="D11" s="45" t="inlineStr">
        <is>
          <t>Important</t>
        </is>
      </c>
      <c r="E11" s="45" t="inlineStr">
        <is>
          <t>Aravinth</t>
        </is>
      </c>
      <c r="F11" s="45" t="inlineStr">
        <is>
          <t>Deferred</t>
        </is>
      </c>
      <c r="G11" s="45" t="n"/>
      <c r="H11" s="45" t="inlineStr">
        <is>
          <t>Deferred to after Wave 1A. No payment webhook is built for Wave 1A.</t>
        </is>
      </c>
      <c r="I11" s="45" t="inlineStr">
        <is>
          <t>—</t>
        </is>
      </c>
      <c r="J11" s="45" t="inlineStr">
        <is>
          <t>Separates a completed sale from an abandoned one.</t>
        </is>
      </c>
      <c r="K11" s="45" t="inlineStr">
        <is>
          <t>E7</t>
        </is>
      </c>
      <c r="L11" s="45" t="inlineStr">
        <is>
          <t>Consequence: failed payments and chargebacks are not separated. Acceptable because success is order_status Delivered. Payed Off is written by changePaymentBySeller.</t>
        </is>
      </c>
    </row>
    <row r="12" ht="38.25" customHeight="1" s="25">
      <c r="A12" s="44" t="inlineStr">
        <is>
          <t>E8</t>
        </is>
      </c>
      <c r="B12" s="45" t="inlineStr">
        <is>
          <t>commission_state_changed</t>
        </is>
      </c>
      <c r="C12" s="45" t="inlineStr">
        <is>
          <t>A commission is recorded, approved, paid, reversed or rejected</t>
        </is>
      </c>
      <c r="D12" s="45" t="inlineStr">
        <is>
          <t>Blocking</t>
        </is>
      </c>
      <c r="E12" s="45" t="inlineStr">
        <is>
          <t>Aravinth</t>
        </is>
      </c>
      <c r="F12" s="45" t="inlineStr">
        <is>
          <t>Deferred</t>
        </is>
      </c>
      <c r="G12" s="45" t="n"/>
      <c r="H12" s="45" t="inlineStr">
        <is>
          <t>Deferred: no Wave 1A model reads it. The platform records commission in commissiontransactions (one row per earner per order) and commissionledgers (one per order); influencerearnings is no longer written or read. When scheduled, the engine copies commissiontransactions (F36 to F41).</t>
        </is>
      </c>
      <c r="I12" s="45" t="inlineStr">
        <is>
          <t>—</t>
        </is>
      </c>
      <c r="J12" s="45" t="inlineStr">
        <is>
          <t>The outcome signal for promoter matching.</t>
        </is>
      </c>
      <c r="K12" s="45" t="inlineStr">
        <is>
          <t>E8</t>
        </is>
      </c>
      <c r="L12" s="45" t="inlineStr">
        <is>
          <t>14 Oct 2026: Statuses: pending, approved, paid, reversed, rejected. Rejected is final; a reversal after payment creates a clawback. statusHistory, approvedAt, paidAt and reversedAt are kept (App Team ML Reference, 8 Oct, sections 8.4 and 8.7; answers of 13 Oct, Q3 to Q5).</t>
        </is>
      </c>
    </row>
    <row r="13" ht="38.25" customHeight="1" s="25">
      <c r="A13" s="44" t="inlineStr">
        <is>
          <t>E9</t>
        </is>
      </c>
      <c r="B13" s="45" t="inlineStr">
        <is>
          <t>social_interaction</t>
        </is>
      </c>
      <c r="C13" s="45" t="inlineStr">
        <is>
          <t>Like, unlike, save, unsave, share, repost, follow or unfollow</t>
        </is>
      </c>
      <c r="D13" s="45" t="inlineStr">
        <is>
          <t>Important</t>
        </is>
      </c>
      <c r="E13" s="45" t="inlineStr">
        <is>
          <t>Aravinth</t>
        </is>
      </c>
      <c r="F13" s="45" t="inlineStr">
        <is>
          <t>Built</t>
        </is>
      </c>
      <c r="G13" s="46" t="n">
        <v>46286</v>
      </c>
      <c r="H13" s="45" t="inlineStr">
        <is>
          <t>Recorded by SOCO_BE as postevents rows: like, unlike, save, unsave, comment, uncomment, share, repost, follow, unfollow. An undo is its own row with undo_of; the original gets undone_at and is never deleted. is_self marks the author acting on their own post.</t>
        </is>
      </c>
      <c r="I13" s="45" t="inlineStr">
        <is>
          <t>All eight actions appear across a sample, each with an actor and a timestamp.</t>
        </is>
      </c>
      <c r="J13" s="45" t="inlineStr">
        <is>
          <t>Kept in ml_events as the full record of social actions, including undos, for the next wave's learned models. In Wave 1A the engine reads likes, saves, comments and shares from postevents and follows from follows, so each action is counted once (ENG-03).</t>
        </is>
      </c>
      <c r="K13" s="45" t="inlineStr">
        <is>
          <t>E9</t>
        </is>
      </c>
      <c r="L13" s="45" t="inlineStr">
        <is>
          <t>28 Sep 2026: Native events (sheet 4). Read by the engine sync.</t>
        </is>
      </c>
    </row>
    <row r="14" ht="51" customHeight="1" s="25">
      <c r="A14" s="44" t="inlineStr">
        <is>
          <t>E10</t>
        </is>
      </c>
      <c r="B14" s="45" t="inlineStr">
        <is>
          <t>opportunity_state_changed (collaboration)</t>
        </is>
      </c>
      <c r="C14" s="45" t="inlineStr">
        <is>
          <t>A brand and creator collaboration changes state</t>
        </is>
      </c>
      <c r="D14" s="45" t="inlineStr">
        <is>
          <t>Blocking</t>
        </is>
      </c>
      <c r="E14" s="45" t="inlineStr">
        <is>
          <t>Aravinth</t>
        </is>
      </c>
      <c r="F14" s="45" t="inlineStr">
        <is>
          <t>Deferred</t>
        </is>
      </c>
      <c r="G14" s="45" t="n"/>
      <c r="H14" s="45" t="inlineStr">
        <is>
          <t>Deferred: no Wave 1A model reads it. The platform records collaboration outcomes in collaborations and collaborationevents (invited, pitched, countered, accepted, declined, withdrawn, expired, started, completed, cancelled and others). When scheduled, the engine copies collaborationevents (F47 to F51).</t>
        </is>
      </c>
      <c r="I14" s="45" t="inlineStr">
        <is>
          <t>—</t>
        </is>
      </c>
      <c r="J14" s="45" t="inlineStr">
        <is>
          <t>The outcome signal for promoter to brand matching.</t>
        </is>
      </c>
      <c r="K14" s="45" t="inlineStr">
        <is>
          <t>E10</t>
        </is>
      </c>
      <c r="L14" s="45" t="inlineStr">
        <is>
          <t>14 Oct 2026: 'No opportunity flow exists' removed (App Team ML Reference, 8 Oct, section 7). A collaboration is one store with one creator; a multi-creator campaign does not exist, so D4 stays Deferred. What a brand or creator was shown in discovery is not logged (ML Reference section 13).</t>
        </is>
      </c>
    </row>
    <row r="15" ht="38.25" customHeight="1" s="25">
      <c r="A15" s="44" t="inlineStr">
        <is>
          <t>E11</t>
        </is>
      </c>
      <c r="B15" s="45" t="inlineStr">
        <is>
          <t>search_performed</t>
        </is>
      </c>
      <c r="C15" s="45" t="inlineStr">
        <is>
          <t>User runs a search</t>
        </is>
      </c>
      <c r="D15" s="45" t="inlineStr">
        <is>
          <t>Useful</t>
        </is>
      </c>
      <c r="E15" s="45" t="inlineStr">
        <is>
          <t>Aravinth</t>
        </is>
      </c>
      <c r="F15" s="45" t="inlineStr">
        <is>
          <t>Deferred</t>
        </is>
      </c>
      <c r="G15" s="45" t="n"/>
      <c r="H15" s="45" t="inlineStr">
        <is>
          <t>Deferred to after Wave 1A. When scheduled, add result_categories.</t>
        </is>
      </c>
      <c r="I15" s="45" t="inlineStr">
        <is>
          <t>—</t>
        </is>
      </c>
      <c r="J15" s="45" t="inlineStr">
        <is>
          <t>Direct statement of intent, and the strongest signal for a new user with no history.</t>
        </is>
      </c>
      <c r="K15" s="45" t="inlineStr">
        <is>
          <t>E11</t>
        </is>
      </c>
      <c r="L15" s="45" t="inlineStr">
        <is>
          <t>Consequence: a new user with no history relies on declared interests only.</t>
        </is>
      </c>
    </row>
    <row r="16" ht="38.25" customHeight="1" s="25">
      <c r="A16" s="44" t="inlineStr">
        <is>
          <t>E12</t>
        </is>
      </c>
      <c r="B16" s="45" t="inlineStr">
        <is>
          <t>identity_stitched</t>
        </is>
      </c>
      <c r="C16" s="45" t="inlineStr">
        <is>
          <t>Anonymous activity is linked to an account at login</t>
        </is>
      </c>
      <c r="D16" s="45" t="inlineStr">
        <is>
          <t>Important</t>
        </is>
      </c>
      <c r="E16" s="45" t="inlineStr">
        <is>
          <t>Aravinth</t>
        </is>
      </c>
      <c r="F16" s="45" t="inlineStr">
        <is>
          <t>Closed</t>
        </is>
      </c>
      <c r="G16" s="45" t="n"/>
      <c r="H16" s="45" t="inlineStr">
        <is>
          <t>Not needed. Login is required before any feed or product is shown, so there is no anonymous activity to stitch.</t>
        </is>
      </c>
      <c r="I16" s="45" t="inlineStr">
        <is>
          <t>—</t>
        </is>
      </c>
      <c r="J16" s="45" t="inlineStr">
        <is>
          <t>Would preserve pre-login browsing.</t>
        </is>
      </c>
      <c r="K16" s="45" t="inlineStr">
        <is>
          <t>E12</t>
        </is>
      </c>
      <c r="L16" s="45" t="n"/>
    </row>
    <row r="17" ht="38.25" customHeight="1" s="25">
      <c r="A17" s="44" t="inlineStr">
        <is>
          <t>E13</t>
        </is>
      </c>
      <c r="B17" s="45" t="inlineStr">
        <is>
          <t>content_feedback</t>
        </is>
      </c>
      <c r="C17" s="45" t="inlineStr">
        <is>
          <t>User chooses not interested, hide, report or mute author on a card</t>
        </is>
      </c>
      <c r="D17" s="45" t="n"/>
      <c r="E17" s="45" t="inlineStr">
        <is>
          <t>Aravinth</t>
        </is>
      </c>
      <c r="F17" s="45" t="inlineStr">
        <is>
          <t>Built</t>
        </is>
      </c>
      <c r="G17" s="46" t="n">
        <v>46286</v>
      </c>
      <c r="H17" s="45" t="inlineStr">
        <is>
          <t>Sent when a user chooses not interested, hide, report or mute author. Fields F60 to F65. If a card's menu has no 'Not interested' choice, one is added.</t>
        </is>
      </c>
      <c r="I17" s="45" t="inlineStr">
        <is>
          <t>Choose each of the four options on a card: one event each, with the right target_type and feedback_type.</t>
        </is>
      </c>
      <c r="J17" s="45" t="inlineStr">
        <is>
          <t>The only negative signal M1 has.</t>
        </is>
      </c>
      <c r="K17" s="45" t="inlineStr">
        <is>
          <t>X-12</t>
        </is>
      </c>
      <c r="L17" s="45" t="inlineStr">
        <is>
          <t>28 Sep 2026: Native event: feedback, with feedback_type and target_type. Read by the engine sync.</t>
        </is>
      </c>
    </row>
    <row r="18" ht="15" customHeight="1" s="25"/>
    <row r="19" ht="15" customHeight="1" s="25"/>
    <row r="20" ht="15" customHeight="1" s="25"/>
    <row r="21" ht="15.75" customHeight="1" s="25"/>
    <row r="22" ht="15.75" customHeight="1" s="25"/>
    <row r="23" ht="15.75" customHeight="1" s="25"/>
    <row r="24" ht="15.75" customHeight="1" s="25"/>
    <row r="25" ht="15.75" customHeight="1" s="25"/>
    <row r="26" ht="15.75" customHeight="1" s="25"/>
    <row r="27" ht="15.75" customHeight="1" s="25"/>
    <row r="28" ht="15.75" customHeight="1" s="25"/>
    <row r="29" ht="15.75" customHeight="1" s="25"/>
    <row r="30" ht="15.75" customHeight="1" s="25"/>
    <row r="31" ht="15.75" customHeight="1" s="25"/>
    <row r="32" ht="15.75" customHeight="1" s="25"/>
    <row r="33" ht="15.75" customHeight="1" s="25"/>
    <row r="34" ht="15.75" customHeight="1" s="25"/>
    <row r="35" ht="15.75" customHeight="1" s="25"/>
    <row r="36" ht="15.75" customHeight="1" s="25"/>
    <row r="37" ht="15.75" customHeight="1" s="25"/>
    <row r="38" ht="15.75" customHeight="1" s="25"/>
    <row r="39" ht="15.75" customHeight="1" s="25"/>
    <row r="40" ht="15.75" customHeight="1" s="25"/>
    <row r="41" ht="15.75" customHeight="1" s="25"/>
    <row r="42" ht="15.75" customHeight="1" s="25"/>
    <row r="43" ht="15.75" customHeight="1" s="25"/>
    <row r="44" ht="15.75" customHeight="1" s="25"/>
    <row r="45" ht="15.75" customHeight="1" s="25"/>
    <row r="46" ht="15.75" customHeight="1" s="25"/>
    <row r="47" ht="15.75" customHeight="1" s="25"/>
    <row r="48" ht="15.75" customHeight="1" s="25"/>
    <row r="49" ht="15.75" customHeight="1" s="25"/>
    <row r="50" ht="15.75" customHeight="1" s="25"/>
    <row r="51" ht="15.75" customHeight="1" s="25"/>
    <row r="52" ht="15.75" customHeight="1" s="25"/>
    <row r="53" ht="15.75" customHeight="1" s="25"/>
    <row r="54" ht="15.75" customHeight="1" s="25"/>
    <row r="55" ht="15.75" customHeight="1" s="25"/>
    <row r="56" ht="15.75" customHeight="1" s="25"/>
    <row r="57" ht="15.75" customHeight="1" s="25"/>
    <row r="58" ht="15.75" customHeight="1" s="25"/>
    <row r="59" ht="15.75" customHeight="1" s="25"/>
    <row r="60" ht="15.75" customHeight="1" s="25"/>
    <row r="61" ht="15.75" customHeight="1" s="25"/>
    <row r="62" ht="15.75" customHeight="1" s="25"/>
    <row r="63" ht="15.75" customHeight="1" s="25"/>
    <row r="64" ht="15.75" customHeight="1" s="25"/>
    <row r="65" ht="15.75" customHeight="1" s="25"/>
    <row r="66" ht="15.75" customHeight="1" s="25"/>
    <row r="67" ht="15.75" customHeight="1" s="25"/>
    <row r="68" ht="15.75" customHeight="1" s="25"/>
    <row r="69" ht="15.75" customHeight="1" s="25"/>
    <row r="70" ht="15.75" customHeight="1" s="25"/>
    <row r="71" ht="15.75" customHeight="1" s="25"/>
    <row r="72" ht="15.75" customHeight="1" s="25"/>
    <row r="73" ht="15.75" customHeight="1" s="25"/>
    <row r="74" ht="15.75" customHeight="1" s="25"/>
    <row r="75" ht="15.75" customHeight="1" s="25"/>
    <row r="76" ht="15.75" customHeight="1" s="25"/>
    <row r="77" ht="15.75" customHeight="1" s="25"/>
    <row r="78" ht="15.75" customHeight="1" s="25"/>
    <row r="79" ht="15.75" customHeight="1" s="25"/>
    <row r="80" ht="15.75" customHeight="1" s="25"/>
    <row r="81" ht="15.75" customHeight="1" s="25"/>
    <row r="82" ht="15.75" customHeight="1" s="25"/>
    <row r="83" ht="15.75" customHeight="1" s="25"/>
    <row r="84" ht="15.75" customHeight="1" s="25"/>
    <row r="85" ht="15.75" customHeight="1" s="25"/>
    <row r="86" ht="15.75" customHeight="1" s="25"/>
    <row r="87" ht="15.75" customHeight="1" s="25"/>
    <row r="88" ht="15.75" customHeight="1" s="25"/>
    <row r="89" ht="15.75" customHeight="1" s="25"/>
    <row r="90" ht="15.75" customHeight="1" s="25"/>
    <row r="91" ht="15.75" customHeight="1" s="25"/>
    <row r="92" ht="15.75" customHeight="1" s="25"/>
    <row r="93" ht="15.75" customHeight="1" s="25"/>
    <row r="94" ht="15.75" customHeight="1" s="25"/>
    <row r="95" ht="15.75" customHeight="1" s="25"/>
    <row r="96" ht="15.75" customHeight="1" s="25"/>
    <row r="97" ht="15.75" customHeight="1" s="25"/>
    <row r="98" ht="15.75" customHeight="1" s="25"/>
    <row r="99" ht="15.75" customHeight="1" s="25"/>
    <row r="100" ht="15.75" customHeight="1" s="25"/>
    <row r="101" ht="15.75" customHeight="1" s="25"/>
    <row r="102" ht="15.75" customHeight="1" s="25"/>
    <row r="103" ht="15.75" customHeight="1" s="25"/>
    <row r="104" ht="15.75" customHeight="1" s="25"/>
    <row r="105" ht="15.75" customHeight="1" s="25"/>
    <row r="106" ht="15.75" customHeight="1" s="25"/>
    <row r="107" ht="15.75" customHeight="1" s="25"/>
    <row r="108" ht="15.75" customHeight="1" s="25"/>
    <row r="109" ht="15.75" customHeight="1" s="25"/>
    <row r="110" ht="15.75" customHeight="1" s="25"/>
    <row r="111" ht="15.75" customHeight="1" s="25"/>
    <row r="112" ht="15.75" customHeight="1" s="25"/>
    <row r="113" ht="15.75" customHeight="1" s="25"/>
    <row r="114" ht="15.75" customHeight="1" s="25"/>
    <row r="115" ht="15.75" customHeight="1" s="25"/>
    <row r="116" ht="15.75" customHeight="1" s="25"/>
    <row r="117" ht="15.75" customHeight="1" s="25"/>
    <row r="118" ht="15.75" customHeight="1" s="25"/>
    <row r="119" ht="15.75" customHeight="1" s="25"/>
    <row r="120" ht="15.75" customHeight="1" s="25"/>
    <row r="121" ht="15.75" customHeight="1" s="25"/>
    <row r="122" ht="15.75" customHeight="1" s="25"/>
    <row r="123" ht="15.75" customHeight="1" s="25"/>
    <row r="124" ht="15.75" customHeight="1" s="25"/>
    <row r="125" ht="15.75" customHeight="1" s="25"/>
    <row r="126" ht="15.75" customHeight="1" s="25"/>
    <row r="127" ht="15.75" customHeight="1" s="25"/>
    <row r="128" ht="15.75" customHeight="1" s="25"/>
    <row r="129" ht="15.75" customHeight="1" s="25"/>
    <row r="130" ht="15.75" customHeight="1" s="25"/>
    <row r="131" ht="15.75" customHeight="1" s="25"/>
    <row r="132" ht="15.75" customHeight="1" s="25"/>
    <row r="133" ht="15.75" customHeight="1" s="25"/>
    <row r="134" ht="15.75" customHeight="1" s="25"/>
    <row r="135" ht="15.75" customHeight="1" s="25"/>
    <row r="136" ht="15.75" customHeight="1" s="25"/>
    <row r="137" ht="15.75" customHeight="1" s="25"/>
    <row r="138" ht="15.75" customHeight="1" s="25"/>
    <row r="139" ht="15.75" customHeight="1" s="25"/>
    <row r="140" ht="15.75" customHeight="1" s="25"/>
    <row r="141" ht="15.75" customHeight="1" s="25"/>
    <row r="142" ht="15.75" customHeight="1" s="25"/>
    <row r="143" ht="15.75" customHeight="1" s="25"/>
    <row r="144" ht="15.75" customHeight="1" s="25"/>
    <row r="145" ht="15.75" customHeight="1" s="25"/>
    <row r="146" ht="15.75" customHeight="1" s="25"/>
    <row r="147" ht="15.75" customHeight="1" s="25"/>
    <row r="148" ht="15.75" customHeight="1" s="25"/>
    <row r="149" ht="15.75" customHeight="1" s="25"/>
    <row r="150" ht="15.75" customHeight="1" s="25"/>
    <row r="151" ht="15.75" customHeight="1" s="25"/>
    <row r="152" ht="15.75" customHeight="1" s="25"/>
    <row r="153" ht="15.75" customHeight="1" s="25"/>
    <row r="154" ht="15.75" customHeight="1" s="25"/>
    <row r="155" ht="15.75" customHeight="1" s="25"/>
    <row r="156" ht="15.75" customHeight="1" s="25"/>
    <row r="157" ht="15.75" customHeight="1" s="25"/>
    <row r="158" ht="15.75" customHeight="1" s="25"/>
    <row r="159" ht="15.75" customHeight="1" s="25"/>
    <row r="160" ht="15.75" customHeight="1" s="25"/>
    <row r="161" ht="15.75" customHeight="1" s="25"/>
    <row r="162" ht="15.75" customHeight="1" s="25"/>
    <row r="163" ht="15.75" customHeight="1" s="25"/>
    <row r="164" ht="15.75" customHeight="1" s="25"/>
    <row r="165" ht="15.75" customHeight="1" s="25"/>
    <row r="166" ht="15.75" customHeight="1" s="25"/>
    <row r="167" ht="15.75" customHeight="1" s="25"/>
    <row r="168" ht="15.75" customHeight="1" s="25"/>
    <row r="169" ht="15.75" customHeight="1" s="25"/>
    <row r="170" ht="15.75" customHeight="1" s="25"/>
    <row r="171" ht="15.75" customHeight="1" s="25"/>
    <row r="172" ht="15.75" customHeight="1" s="25"/>
    <row r="173" ht="15.75" customHeight="1" s="25"/>
    <row r="174" ht="15.75" customHeight="1" s="25"/>
    <row r="175" ht="15.75" customHeight="1" s="25"/>
    <row r="176" ht="15.75" customHeight="1" s="25"/>
    <row r="177" ht="15.75" customHeight="1" s="25"/>
    <row r="178" ht="15.75" customHeight="1" s="25"/>
    <row r="179" ht="15.75" customHeight="1" s="25"/>
    <row r="180" ht="15.75" customHeight="1" s="25"/>
    <row r="181" ht="15.75" customHeight="1" s="25"/>
    <row r="182" ht="15.75" customHeight="1" s="25"/>
    <row r="183" ht="15.75" customHeight="1" s="25"/>
    <row r="184" ht="15.75" customHeight="1" s="25"/>
    <row r="185" ht="15.75" customHeight="1" s="25"/>
    <row r="186" ht="15.75" customHeight="1" s="25"/>
    <row r="187" ht="15.75" customHeight="1" s="25"/>
    <row r="188" ht="15.75" customHeight="1" s="25"/>
    <row r="189" ht="15.75" customHeight="1" s="25"/>
    <row r="190" ht="15.75" customHeight="1" s="25"/>
    <row r="191" ht="15.75" customHeight="1" s="25"/>
    <row r="192" ht="15.75" customHeight="1" s="25"/>
    <row r="193" ht="15.75" customHeight="1" s="25"/>
    <row r="194" ht="15.75" customHeight="1" s="25"/>
    <row r="195" ht="15.75" customHeight="1" s="25"/>
    <row r="196" ht="15.75" customHeight="1" s="25"/>
    <row r="197" ht="15.75" customHeight="1" s="25"/>
    <row r="198" ht="15.75" customHeight="1" s="25"/>
    <row r="199" ht="15.75" customHeight="1" s="25"/>
    <row r="200" ht="15.75" customHeight="1" s="25"/>
    <row r="201" ht="15.75" customHeight="1" s="25"/>
    <row r="202" ht="15.75" customHeight="1" s="25"/>
    <row r="203" ht="15.75" customHeight="1" s="25"/>
    <row r="204" ht="15.75" customHeight="1" s="25"/>
    <row r="205" ht="15.75" customHeight="1" s="25"/>
    <row r="206" ht="15.75" customHeight="1" s="25"/>
    <row r="207" ht="15.75" customHeight="1" s="25"/>
    <row r="208" ht="15.75" customHeight="1" s="25"/>
    <row r="209" ht="15.75" customHeight="1" s="25"/>
    <row r="210" ht="15.75" customHeight="1" s="25"/>
    <row r="211" ht="15.75" customHeight="1" s="25"/>
    <row r="212" ht="15.75" customHeight="1" s="25"/>
    <row r="213" ht="15.75" customHeight="1" s="25"/>
    <row r="214" ht="15.75" customHeight="1" s="25"/>
    <row r="215" ht="15.75" customHeight="1" s="25"/>
    <row r="216" ht="15.75" customHeight="1" s="25"/>
    <row r="217" ht="15.75" customHeight="1" s="25"/>
    <row r="218" ht="15.75" customHeight="1" s="25"/>
    <row r="219" ht="15.75" customHeight="1" s="25"/>
    <row r="220" ht="15.75" customHeight="1" s="25"/>
    <row r="221" ht="15.75" customHeight="1" s="25"/>
    <row r="222" ht="15.75" customHeight="1" s="25"/>
    <row r="223" ht="15.75" customHeight="1" s="25"/>
    <row r="224" ht="15.75" customHeight="1" s="25"/>
    <row r="225" ht="15.75" customHeight="1" s="25"/>
    <row r="226" ht="15.75" customHeight="1" s="25"/>
    <row r="227" ht="15.75" customHeight="1" s="25"/>
    <row r="228" ht="15.75" customHeight="1" s="25"/>
    <row r="229" ht="15.75" customHeight="1" s="25"/>
    <row r="230" ht="15.75" customHeight="1" s="25"/>
    <row r="231" ht="15.75" customHeight="1" s="25"/>
    <row r="232" ht="15.75" customHeight="1" s="25"/>
    <row r="233" ht="15.75" customHeight="1" s="25"/>
    <row r="234" ht="15.75" customHeight="1" s="25"/>
    <row r="235" ht="15.75" customHeight="1" s="25"/>
    <row r="236" ht="15.75" customHeight="1" s="25"/>
    <row r="237" ht="15.75" customHeight="1" s="25"/>
    <row r="238" ht="15.75" customHeight="1" s="25"/>
    <row r="239" ht="15.75" customHeight="1" s="25"/>
    <row r="240" ht="15.75" customHeight="1" s="25"/>
    <row r="241" ht="15.75" customHeight="1" s="25"/>
    <row r="242" ht="15.75" customHeight="1" s="25"/>
    <row r="243" ht="15.75" customHeight="1" s="25"/>
    <row r="244" ht="15.75" customHeight="1" s="25"/>
    <row r="245" ht="15.75" customHeight="1" s="25"/>
    <row r="246" ht="15.75" customHeight="1" s="25"/>
    <row r="247" ht="15.75" customHeight="1" s="25"/>
    <row r="248" ht="15.75" customHeight="1" s="25"/>
    <row r="249" ht="15.75" customHeight="1" s="25"/>
    <row r="250" ht="15.75" customHeight="1" s="25"/>
    <row r="251" ht="15.75" customHeight="1" s="25"/>
    <row r="252" ht="15.75" customHeight="1" s="25"/>
    <row r="253" ht="15.75" customHeight="1" s="25"/>
    <row r="254" ht="15.75" customHeight="1" s="25"/>
    <row r="255" ht="15.75" customHeight="1" s="25"/>
    <row r="256" ht="15.75" customHeight="1" s="25"/>
    <row r="257" ht="15.75" customHeight="1" s="25"/>
    <row r="258" ht="15.75" customHeight="1" s="25"/>
    <row r="259" ht="15.75" customHeight="1" s="25"/>
    <row r="260" ht="15.75" customHeight="1" s="25"/>
    <row r="261" ht="15.75" customHeight="1" s="25"/>
    <row r="262" ht="15.75" customHeight="1" s="25"/>
    <row r="263" ht="15.75" customHeight="1" s="25"/>
    <row r="264" ht="15.75" customHeight="1" s="25"/>
    <row r="265" ht="15.75" customHeight="1" s="25"/>
    <row r="266" ht="15.75" customHeight="1" s="25"/>
    <row r="267" ht="15.75" customHeight="1" s="25"/>
    <row r="268" ht="15.75" customHeight="1" s="25"/>
    <row r="269" ht="15.75" customHeight="1" s="25"/>
    <row r="270" ht="15.75" customHeight="1" s="25"/>
    <row r="271" ht="15.75" customHeight="1" s="25"/>
    <row r="272" ht="15.75" customHeight="1" s="25"/>
    <row r="273" ht="15.75" customHeight="1" s="25"/>
    <row r="274" ht="15.75" customHeight="1" s="25"/>
    <row r="275" ht="15.75" customHeight="1" s="25"/>
    <row r="276" ht="15.75" customHeight="1" s="25"/>
    <row r="277" ht="15.75" customHeight="1" s="25"/>
    <row r="278" ht="15.75" customHeight="1" s="25"/>
    <row r="279" ht="15.75" customHeight="1" s="25"/>
    <row r="280" ht="15.75" customHeight="1" s="25"/>
    <row r="281" ht="15.75" customHeight="1" s="25"/>
    <row r="282" ht="15.75" customHeight="1" s="25"/>
    <row r="283" ht="15.75" customHeight="1" s="25"/>
    <row r="284" ht="15.75" customHeight="1" s="25"/>
    <row r="285" ht="15.75" customHeight="1" s="25"/>
    <row r="286" ht="15.75" customHeight="1" s="25"/>
    <row r="287" ht="15.75" customHeight="1" s="25"/>
    <row r="288" ht="15.75" customHeight="1" s="25"/>
    <row r="289" ht="15.75" customHeight="1" s="25"/>
    <row r="290" ht="15.75" customHeight="1" s="25"/>
    <row r="291" ht="15.75" customHeight="1" s="25"/>
    <row r="292" ht="15.75" customHeight="1" s="25"/>
    <row r="293" ht="15.75" customHeight="1" s="25"/>
    <row r="294" ht="15.75" customHeight="1" s="25"/>
    <row r="295" ht="15.75" customHeight="1" s="25"/>
    <row r="296" ht="15.75" customHeight="1" s="25"/>
    <row r="297" ht="15.75" customHeight="1" s="25"/>
    <row r="298" ht="15.75" customHeight="1" s="25"/>
    <row r="299" ht="15.75" customHeight="1" s="25"/>
    <row r="300" ht="15.75" customHeight="1" s="25"/>
    <row r="301" ht="15.75" customHeight="1" s="25"/>
    <row r="302" ht="15.75" customHeight="1" s="25"/>
    <row r="303" ht="15.75" customHeight="1" s="25"/>
    <row r="304" ht="15.75" customHeight="1" s="25"/>
    <row r="305" ht="15.75" customHeight="1" s="25"/>
    <row r="306" ht="15.75" customHeight="1" s="25"/>
    <row r="307" ht="15.75" customHeight="1" s="25"/>
    <row r="308" ht="15.75" customHeight="1" s="25"/>
    <row r="309" ht="15.75" customHeight="1" s="25"/>
    <row r="310" ht="15.75" customHeight="1" s="25"/>
    <row r="311" ht="15.75" customHeight="1" s="25"/>
    <row r="312" ht="15.75" customHeight="1" s="25"/>
    <row r="313" ht="15.75" customHeight="1" s="25"/>
    <row r="314" ht="15.75" customHeight="1" s="25"/>
    <row r="315" ht="15.75" customHeight="1" s="25"/>
    <row r="316" ht="15.75" customHeight="1" s="25"/>
    <row r="317" ht="15.75" customHeight="1" s="25"/>
    <row r="318" ht="15.75" customHeight="1" s="25"/>
    <row r="319" ht="15.75" customHeight="1" s="25"/>
    <row r="320" ht="15.75" customHeight="1" s="25"/>
    <row r="321" ht="15.75" customHeight="1" s="25"/>
    <row r="322" ht="15.75" customHeight="1" s="25"/>
    <row r="323" ht="15.75" customHeight="1" s="25"/>
    <row r="324" ht="15.75" customHeight="1" s="25"/>
    <row r="325" ht="15.75" customHeight="1" s="25"/>
    <row r="326" ht="15.75" customHeight="1" s="25"/>
    <row r="327" ht="15.75" customHeight="1" s="25"/>
    <row r="328" ht="15.75" customHeight="1" s="25"/>
    <row r="329" ht="15.75" customHeight="1" s="25"/>
    <row r="330" ht="15.75" customHeight="1" s="25"/>
    <row r="331" ht="15.75" customHeight="1" s="25"/>
    <row r="332" ht="15.75" customHeight="1" s="25"/>
    <row r="333" ht="15.75" customHeight="1" s="25"/>
    <row r="334" ht="15.75" customHeight="1" s="25"/>
    <row r="335" ht="15.75" customHeight="1" s="25"/>
    <row r="336" ht="15.75" customHeight="1" s="25"/>
    <row r="337" ht="15.75" customHeight="1" s="25"/>
    <row r="338" ht="15.75" customHeight="1" s="25"/>
    <row r="339" ht="15.75" customHeight="1" s="25"/>
    <row r="340" ht="15.75" customHeight="1" s="25"/>
    <row r="341" ht="15.75" customHeight="1" s="25"/>
    <row r="342" ht="15.75" customHeight="1" s="25"/>
    <row r="343" ht="15.75" customHeight="1" s="25"/>
    <row r="344" ht="15.75" customHeight="1" s="25"/>
    <row r="345" ht="15.75" customHeight="1" s="25"/>
    <row r="346" ht="15.75" customHeight="1" s="25"/>
    <row r="347" ht="15.75" customHeight="1" s="25"/>
    <row r="348" ht="15.75" customHeight="1" s="25"/>
    <row r="349" ht="15.75" customHeight="1" s="25"/>
    <row r="350" ht="15.75" customHeight="1" s="25"/>
    <row r="351" ht="15.75" customHeight="1" s="25"/>
    <row r="352" ht="15.75" customHeight="1" s="25"/>
    <row r="353" ht="15.75" customHeight="1" s="25"/>
    <row r="354" ht="15.75" customHeight="1" s="25"/>
    <row r="355" ht="15.75" customHeight="1" s="25"/>
    <row r="356" ht="15.75" customHeight="1" s="25"/>
    <row r="357" ht="15.75" customHeight="1" s="25"/>
    <row r="358" ht="15.75" customHeight="1" s="25"/>
    <row r="359" ht="15.75" customHeight="1" s="25"/>
    <row r="360" ht="15.75" customHeight="1" s="25"/>
    <row r="361" ht="15.75" customHeight="1" s="25"/>
    <row r="362" ht="15.75" customHeight="1" s="25"/>
    <row r="363" ht="15.75" customHeight="1" s="25"/>
    <row r="364" ht="15.75" customHeight="1" s="25"/>
    <row r="365" ht="15.75" customHeight="1" s="25"/>
    <row r="366" ht="15.75" customHeight="1" s="25"/>
    <row r="367" ht="15.75" customHeight="1" s="25"/>
    <row r="368" ht="15.75" customHeight="1" s="25"/>
    <row r="369" ht="15.75" customHeight="1" s="25"/>
    <row r="370" ht="15.75" customHeight="1" s="25"/>
    <row r="371" ht="15.75" customHeight="1" s="25"/>
    <row r="372" ht="15.75" customHeight="1" s="25"/>
    <row r="373" ht="15.75" customHeight="1" s="25"/>
    <row r="374" ht="15.75" customHeight="1" s="25"/>
    <row r="375" ht="15.75" customHeight="1" s="25"/>
    <row r="376" ht="15.75" customHeight="1" s="25"/>
    <row r="377" ht="15.75" customHeight="1" s="25"/>
    <row r="378" ht="15.75" customHeight="1" s="25"/>
    <row r="379" ht="15.75" customHeight="1" s="25"/>
    <row r="380" ht="15.75" customHeight="1" s="25"/>
    <row r="381" ht="15.75" customHeight="1" s="25"/>
    <row r="382" ht="15.75" customHeight="1" s="25"/>
    <row r="383" ht="15.75" customHeight="1" s="25"/>
    <row r="384" ht="15.75" customHeight="1" s="25"/>
    <row r="385" ht="15.75" customHeight="1" s="25"/>
    <row r="386" ht="15.75" customHeight="1" s="25"/>
    <row r="387" ht="15.75" customHeight="1" s="25"/>
    <row r="388" ht="15.75" customHeight="1" s="25"/>
    <row r="389" ht="15.75" customHeight="1" s="25"/>
    <row r="390" ht="15.75" customHeight="1" s="25"/>
    <row r="391" ht="15.75" customHeight="1" s="25"/>
    <row r="392" ht="15.75" customHeight="1" s="25"/>
    <row r="393" ht="15.75" customHeight="1" s="25"/>
    <row r="394" ht="15.75" customHeight="1" s="25"/>
    <row r="395" ht="15.75" customHeight="1" s="25"/>
    <row r="396" ht="15.75" customHeight="1" s="25"/>
    <row r="397" ht="15.75" customHeight="1" s="25"/>
    <row r="398" ht="15.75" customHeight="1" s="25"/>
    <row r="399" ht="15.75" customHeight="1" s="25"/>
    <row r="400" ht="15.75" customHeight="1" s="25"/>
    <row r="401" ht="15.75" customHeight="1" s="25"/>
    <row r="402" ht="15.75" customHeight="1" s="25"/>
    <row r="403" ht="15.75" customHeight="1" s="25"/>
    <row r="404" ht="15.75" customHeight="1" s="25"/>
    <row r="405" ht="15.75" customHeight="1" s="25"/>
    <row r="406" ht="15.75" customHeight="1" s="25"/>
    <row r="407" ht="15.75" customHeight="1" s="25"/>
    <row r="408" ht="15.75" customHeight="1" s="25"/>
    <row r="409" ht="15.75" customHeight="1" s="25"/>
    <row r="410" ht="15.75" customHeight="1" s="25"/>
    <row r="411" ht="15.75" customHeight="1" s="25"/>
    <row r="412" ht="15.75" customHeight="1" s="25"/>
    <row r="413" ht="15.75" customHeight="1" s="25"/>
    <row r="414" ht="15.75" customHeight="1" s="25"/>
    <row r="415" ht="15.75" customHeight="1" s="25"/>
    <row r="416" ht="15.75" customHeight="1" s="25"/>
    <row r="417" ht="15.75" customHeight="1" s="25"/>
    <row r="418" ht="15.75" customHeight="1" s="25"/>
    <row r="419" ht="15.75" customHeight="1" s="25"/>
    <row r="420" ht="15.75" customHeight="1" s="25"/>
    <row r="421" ht="15.75" customHeight="1" s="25"/>
    <row r="422" ht="15.75" customHeight="1" s="25"/>
    <row r="423" ht="15.75" customHeight="1" s="25"/>
    <row r="424" ht="15.75" customHeight="1" s="25"/>
    <row r="425" ht="15.75" customHeight="1" s="25"/>
    <row r="426" ht="15.75" customHeight="1" s="25"/>
    <row r="427" ht="15.75" customHeight="1" s="25"/>
    <row r="428" ht="15.75" customHeight="1" s="25"/>
    <row r="429" ht="15.75" customHeight="1" s="25"/>
    <row r="430" ht="15.75" customHeight="1" s="25"/>
    <row r="431" ht="15.75" customHeight="1" s="25"/>
    <row r="432" ht="15.75" customHeight="1" s="25"/>
    <row r="433" ht="15.75" customHeight="1" s="25"/>
    <row r="434" ht="15.75" customHeight="1" s="25"/>
    <row r="435" ht="15.75" customHeight="1" s="25"/>
    <row r="436" ht="15.75" customHeight="1" s="25"/>
    <row r="437" ht="15.75" customHeight="1" s="25"/>
    <row r="438" ht="15.75" customHeight="1" s="25"/>
    <row r="439" ht="15.75" customHeight="1" s="25"/>
    <row r="440" ht="15.75" customHeight="1" s="25"/>
    <row r="441" ht="15.75" customHeight="1" s="25"/>
    <row r="442" ht="15.75" customHeight="1" s="25"/>
    <row r="443" ht="15.75" customHeight="1" s="25"/>
    <row r="444" ht="15.75" customHeight="1" s="25"/>
    <row r="445" ht="15.75" customHeight="1" s="25"/>
    <row r="446" ht="15.75" customHeight="1" s="25"/>
    <row r="447" ht="15.75" customHeight="1" s="25"/>
    <row r="448" ht="15.75" customHeight="1" s="25"/>
    <row r="449" ht="15.75" customHeight="1" s="25"/>
    <row r="450" ht="15.75" customHeight="1" s="25"/>
    <row r="451" ht="15.75" customHeight="1" s="25"/>
    <row r="452" ht="15.75" customHeight="1" s="25"/>
    <row r="453" ht="15.75" customHeight="1" s="25"/>
    <row r="454" ht="15.75" customHeight="1" s="25"/>
    <row r="455" ht="15.75" customHeight="1" s="25"/>
    <row r="456" ht="15.75" customHeight="1" s="25"/>
    <row r="457" ht="15.75" customHeight="1" s="25"/>
    <row r="458" ht="15.75" customHeight="1" s="25"/>
    <row r="459" ht="15.75" customHeight="1" s="25"/>
    <row r="460" ht="15.75" customHeight="1" s="25"/>
    <row r="461" ht="15.75" customHeight="1" s="25"/>
    <row r="462" ht="15.75" customHeight="1" s="25"/>
    <row r="463" ht="15.75" customHeight="1" s="25"/>
    <row r="464" ht="15.75" customHeight="1" s="25"/>
    <row r="465" ht="15.75" customHeight="1" s="25"/>
    <row r="466" ht="15.75" customHeight="1" s="25"/>
    <row r="467" ht="15.75" customHeight="1" s="25"/>
    <row r="468" ht="15.75" customHeight="1" s="25"/>
    <row r="469" ht="15.75" customHeight="1" s="25"/>
    <row r="470" ht="15.75" customHeight="1" s="25"/>
    <row r="471" ht="15.75" customHeight="1" s="25"/>
    <row r="472" ht="15.75" customHeight="1" s="25"/>
    <row r="473" ht="15.75" customHeight="1" s="25"/>
    <row r="474" ht="15.75" customHeight="1" s="25"/>
    <row r="475" ht="15.75" customHeight="1" s="25"/>
    <row r="476" ht="15.75" customHeight="1" s="25"/>
    <row r="477" ht="15.75" customHeight="1" s="25"/>
    <row r="478" ht="15.75" customHeight="1" s="25"/>
    <row r="479" ht="15.75" customHeight="1" s="25"/>
    <row r="480" ht="15.75" customHeight="1" s="25"/>
    <row r="481" ht="15.75" customHeight="1" s="25"/>
    <row r="482" ht="15.75" customHeight="1" s="25"/>
    <row r="483" ht="15.75" customHeight="1" s="25"/>
    <row r="484" ht="15.75" customHeight="1" s="25"/>
    <row r="485" ht="15.75" customHeight="1" s="25"/>
    <row r="486" ht="15.75" customHeight="1" s="25"/>
    <row r="487" ht="15.75" customHeight="1" s="25"/>
    <row r="488" ht="15.75" customHeight="1" s="25"/>
    <row r="489" ht="15.75" customHeight="1" s="25"/>
    <row r="490" ht="15.75" customHeight="1" s="25"/>
    <row r="491" ht="15.75" customHeight="1" s="25"/>
    <row r="492" ht="15.75" customHeight="1" s="25"/>
    <row r="493" ht="15.75" customHeight="1" s="25"/>
    <row r="494" ht="15.75" customHeight="1" s="25"/>
    <row r="495" ht="15.75" customHeight="1" s="25"/>
    <row r="496" ht="15.75" customHeight="1" s="25"/>
    <row r="497" ht="15.75" customHeight="1" s="25"/>
    <row r="498" ht="15.75" customHeight="1" s="25"/>
    <row r="499" ht="15.75" customHeight="1" s="25"/>
    <row r="500" ht="15.75" customHeight="1" s="25"/>
    <row r="501" ht="15.75" customHeight="1" s="25"/>
    <row r="502" ht="15.75" customHeight="1" s="25"/>
    <row r="503" ht="15.75" customHeight="1" s="25"/>
    <row r="504" ht="15.75" customHeight="1" s="25"/>
    <row r="505" ht="15.75" customHeight="1" s="25"/>
    <row r="506" ht="15.75" customHeight="1" s="25"/>
    <row r="507" ht="15.75" customHeight="1" s="25"/>
    <row r="508" ht="15.75" customHeight="1" s="25"/>
    <row r="509" ht="15.75" customHeight="1" s="25"/>
    <row r="510" ht="15.75" customHeight="1" s="25"/>
    <row r="511" ht="15.75" customHeight="1" s="25"/>
    <row r="512" ht="15.75" customHeight="1" s="25"/>
    <row r="513" ht="15.75" customHeight="1" s="25"/>
    <row r="514" ht="15.75" customHeight="1" s="25"/>
    <row r="515" ht="15.75" customHeight="1" s="25"/>
    <row r="516" ht="15.75" customHeight="1" s="25"/>
    <row r="517" ht="15.75" customHeight="1" s="25"/>
    <row r="518" ht="15.75" customHeight="1" s="25"/>
    <row r="519" ht="15.75" customHeight="1" s="25"/>
    <row r="520" ht="15.75" customHeight="1" s="25"/>
    <row r="521" ht="15.75" customHeight="1" s="25"/>
    <row r="522" ht="15.75" customHeight="1" s="25"/>
    <row r="523" ht="15.75" customHeight="1" s="25"/>
    <row r="524" ht="15.75" customHeight="1" s="25"/>
    <row r="525" ht="15.75" customHeight="1" s="25"/>
    <row r="526" ht="15.75" customHeight="1" s="25"/>
    <row r="527" ht="15.75" customHeight="1" s="25"/>
    <row r="528" ht="15.75" customHeight="1" s="25"/>
    <row r="529" ht="15.75" customHeight="1" s="25"/>
    <row r="530" ht="15.75" customHeight="1" s="25"/>
    <row r="531" ht="15.75" customHeight="1" s="25"/>
    <row r="532" ht="15.75" customHeight="1" s="25"/>
    <row r="533" ht="15.75" customHeight="1" s="25"/>
    <row r="534" ht="15.75" customHeight="1" s="25"/>
    <row r="535" ht="15.75" customHeight="1" s="25"/>
    <row r="536" ht="15.75" customHeight="1" s="25"/>
    <row r="537" ht="15.75" customHeight="1" s="25"/>
    <row r="538" ht="15.75" customHeight="1" s="25"/>
    <row r="539" ht="15.75" customHeight="1" s="25"/>
    <row r="540" ht="15.75" customHeight="1" s="25"/>
    <row r="541" ht="15.75" customHeight="1" s="25"/>
    <row r="542" ht="15.75" customHeight="1" s="25"/>
    <row r="543" ht="15.75" customHeight="1" s="25"/>
    <row r="544" ht="15.75" customHeight="1" s="25"/>
    <row r="545" ht="15.75" customHeight="1" s="25"/>
    <row r="546" ht="15.75" customHeight="1" s="25"/>
    <row r="547" ht="15.75" customHeight="1" s="25"/>
    <row r="548" ht="15.75" customHeight="1" s="25"/>
    <row r="549" ht="15.75" customHeight="1" s="25"/>
    <row r="550" ht="15.75" customHeight="1" s="25"/>
    <row r="551" ht="15.75" customHeight="1" s="25"/>
    <row r="552" ht="15.75" customHeight="1" s="25"/>
    <row r="553" ht="15.75" customHeight="1" s="25"/>
    <row r="554" ht="15.75" customHeight="1" s="25"/>
    <row r="555" ht="15.75" customHeight="1" s="25"/>
    <row r="556" ht="15.75" customHeight="1" s="25"/>
    <row r="557" ht="15.75" customHeight="1" s="25"/>
    <row r="558" ht="15.75" customHeight="1" s="25"/>
    <row r="559" ht="15.75" customHeight="1" s="25"/>
    <row r="560" ht="15.75" customHeight="1" s="25"/>
    <row r="561" ht="15.75" customHeight="1" s="25"/>
    <row r="562" ht="15.75" customHeight="1" s="25"/>
    <row r="563" ht="15.75" customHeight="1" s="25"/>
    <row r="564" ht="15.75" customHeight="1" s="25"/>
    <row r="565" ht="15.75" customHeight="1" s="25"/>
    <row r="566" ht="15.75" customHeight="1" s="25"/>
    <row r="567" ht="15.75" customHeight="1" s="25"/>
    <row r="568" ht="15.75" customHeight="1" s="25"/>
    <row r="569" ht="15.75" customHeight="1" s="25"/>
    <row r="570" ht="15.75" customHeight="1" s="25"/>
    <row r="571" ht="15.75" customHeight="1" s="25"/>
    <row r="572" ht="15.75" customHeight="1" s="25"/>
    <row r="573" ht="15.75" customHeight="1" s="25"/>
    <row r="574" ht="15.75" customHeight="1" s="25"/>
    <row r="575" ht="15.75" customHeight="1" s="25"/>
    <row r="576" ht="15.75" customHeight="1" s="25"/>
    <row r="577" ht="15.75" customHeight="1" s="25"/>
    <row r="578" ht="15.75" customHeight="1" s="25"/>
    <row r="579" ht="15.75" customHeight="1" s="25"/>
    <row r="580" ht="15.75" customHeight="1" s="25"/>
    <row r="581" ht="15.75" customHeight="1" s="25"/>
    <row r="582" ht="15.75" customHeight="1" s="25"/>
    <row r="583" ht="15.75" customHeight="1" s="25"/>
    <row r="584" ht="15.75" customHeight="1" s="25"/>
    <row r="585" ht="15.75" customHeight="1" s="25"/>
    <row r="586" ht="15.75" customHeight="1" s="25"/>
    <row r="587" ht="15.75" customHeight="1" s="25"/>
    <row r="588" ht="15.75" customHeight="1" s="25"/>
    <row r="589" ht="15.75" customHeight="1" s="25"/>
    <row r="590" ht="15.75" customHeight="1" s="25"/>
    <row r="591" ht="15.75" customHeight="1" s="25"/>
    <row r="592" ht="15.75" customHeight="1" s="25"/>
    <row r="593" ht="15.75" customHeight="1" s="25"/>
    <row r="594" ht="15.75" customHeight="1" s="25"/>
    <row r="595" ht="15.75" customHeight="1" s="25"/>
    <row r="596" ht="15.75" customHeight="1" s="25"/>
    <row r="597" ht="15.75" customHeight="1" s="25"/>
    <row r="598" ht="15.75" customHeight="1" s="25"/>
    <row r="599" ht="15.75" customHeight="1" s="25"/>
    <row r="600" ht="15.75" customHeight="1" s="25"/>
    <row r="601" ht="15.75" customHeight="1" s="25"/>
    <row r="602" ht="15.75" customHeight="1" s="25"/>
    <row r="603" ht="15.75" customHeight="1" s="25"/>
    <row r="604" ht="15.75" customHeight="1" s="25"/>
    <row r="605" ht="15.75" customHeight="1" s="25"/>
    <row r="606" ht="15.75" customHeight="1" s="25"/>
    <row r="607" ht="15.75" customHeight="1" s="25"/>
    <row r="608" ht="15.75" customHeight="1" s="25"/>
    <row r="609" ht="15.75" customHeight="1" s="25"/>
    <row r="610" ht="15.75" customHeight="1" s="25"/>
    <row r="611" ht="15.75" customHeight="1" s="25"/>
    <row r="612" ht="15.75" customHeight="1" s="25"/>
    <row r="613" ht="15.75" customHeight="1" s="25"/>
    <row r="614" ht="15.75" customHeight="1" s="25"/>
    <row r="615" ht="15.75" customHeight="1" s="25"/>
    <row r="616" ht="15.75" customHeight="1" s="25"/>
    <row r="617" ht="15.75" customHeight="1" s="25"/>
    <row r="618" ht="15.75" customHeight="1" s="25"/>
    <row r="619" ht="15.75" customHeight="1" s="25"/>
    <row r="620" ht="15.75" customHeight="1" s="25"/>
    <row r="621" ht="15.75" customHeight="1" s="25"/>
    <row r="622" ht="15.75" customHeight="1" s="25"/>
    <row r="623" ht="15.75" customHeight="1" s="25"/>
    <row r="624" ht="15.75" customHeight="1" s="25"/>
    <row r="625" ht="15.75" customHeight="1" s="25"/>
    <row r="626" ht="15.75" customHeight="1" s="25"/>
    <row r="627" ht="15.75" customHeight="1" s="25"/>
    <row r="628" ht="15.75" customHeight="1" s="25"/>
    <row r="629" ht="15.75" customHeight="1" s="25"/>
    <row r="630" ht="15.75" customHeight="1" s="25"/>
    <row r="631" ht="15.75" customHeight="1" s="25"/>
    <row r="632" ht="15.75" customHeight="1" s="25"/>
    <row r="633" ht="15.75" customHeight="1" s="25"/>
    <row r="634" ht="15.75" customHeight="1" s="25"/>
    <row r="635" ht="15.75" customHeight="1" s="25"/>
    <row r="636" ht="15.75" customHeight="1" s="25"/>
    <row r="637" ht="15.75" customHeight="1" s="25"/>
    <row r="638" ht="15.75" customHeight="1" s="25"/>
    <row r="639" ht="15.75" customHeight="1" s="25"/>
    <row r="640" ht="15.75" customHeight="1" s="25"/>
    <row r="641" ht="15.75" customHeight="1" s="25"/>
    <row r="642" ht="15.75" customHeight="1" s="25"/>
    <row r="643" ht="15.75" customHeight="1" s="25"/>
    <row r="644" ht="15.75" customHeight="1" s="25"/>
    <row r="645" ht="15.75" customHeight="1" s="25"/>
    <row r="646" ht="15.75" customHeight="1" s="25"/>
    <row r="647" ht="15.75" customHeight="1" s="25"/>
    <row r="648" ht="15.75" customHeight="1" s="25"/>
    <row r="649" ht="15.75" customHeight="1" s="25"/>
    <row r="650" ht="15.75" customHeight="1" s="25"/>
    <row r="651" ht="15.75" customHeight="1" s="25"/>
    <row r="652" ht="15.75" customHeight="1" s="25"/>
    <row r="653" ht="15.75" customHeight="1" s="25"/>
    <row r="654" ht="15.75" customHeight="1" s="25"/>
    <row r="655" ht="15.75" customHeight="1" s="25"/>
    <row r="656" ht="15.75" customHeight="1" s="25"/>
    <row r="657" ht="15.75" customHeight="1" s="25"/>
    <row r="658" ht="15.75" customHeight="1" s="25"/>
    <row r="659" ht="15.75" customHeight="1" s="25"/>
    <row r="660" ht="15.75" customHeight="1" s="25"/>
    <row r="661" ht="15.75" customHeight="1" s="25"/>
    <row r="662" ht="15.75" customHeight="1" s="25"/>
    <row r="663" ht="15.75" customHeight="1" s="25"/>
    <row r="664" ht="15.75" customHeight="1" s="25"/>
    <row r="665" ht="15.75" customHeight="1" s="25"/>
    <row r="666" ht="15.75" customHeight="1" s="25"/>
    <row r="667" ht="15.75" customHeight="1" s="25"/>
    <row r="668" ht="15.75" customHeight="1" s="25"/>
    <row r="669" ht="15.75" customHeight="1" s="25"/>
    <row r="670" ht="15.75" customHeight="1" s="25"/>
    <row r="671" ht="15.75" customHeight="1" s="25"/>
    <row r="672" ht="15.75" customHeight="1" s="25"/>
    <row r="673" ht="15.75" customHeight="1" s="25"/>
    <row r="674" ht="15.75" customHeight="1" s="25"/>
    <row r="675" ht="15.75" customHeight="1" s="25"/>
    <row r="676" ht="15.75" customHeight="1" s="25"/>
    <row r="677" ht="15.75" customHeight="1" s="25"/>
    <row r="678" ht="15.75" customHeight="1" s="25"/>
    <row r="679" ht="15.75" customHeight="1" s="25"/>
    <row r="680" ht="15.75" customHeight="1" s="25"/>
    <row r="681" ht="15.75" customHeight="1" s="25"/>
    <row r="682" ht="15.75" customHeight="1" s="25"/>
    <row r="683" ht="15.75" customHeight="1" s="25"/>
    <row r="684" ht="15.75" customHeight="1" s="25"/>
    <row r="685" ht="15.75" customHeight="1" s="25"/>
    <row r="686" ht="15.75" customHeight="1" s="25"/>
    <row r="687" ht="15.75" customHeight="1" s="25"/>
    <row r="688" ht="15.75" customHeight="1" s="25"/>
    <row r="689" ht="15.75" customHeight="1" s="25"/>
    <row r="690" ht="15.75" customHeight="1" s="25"/>
    <row r="691" ht="15.75" customHeight="1" s="25"/>
    <row r="692" ht="15.75" customHeight="1" s="25"/>
    <row r="693" ht="15.75" customHeight="1" s="25"/>
    <row r="694" ht="15.75" customHeight="1" s="25"/>
    <row r="695" ht="15.75" customHeight="1" s="25"/>
    <row r="696" ht="15.75" customHeight="1" s="25"/>
    <row r="697" ht="15.75" customHeight="1" s="25"/>
    <row r="698" ht="15.75" customHeight="1" s="25"/>
    <row r="699" ht="15.75" customHeight="1" s="25"/>
    <row r="700" ht="15.75" customHeight="1" s="25"/>
    <row r="701" ht="15.75" customHeight="1" s="25"/>
    <row r="702" ht="15.75" customHeight="1" s="25"/>
    <row r="703" ht="15.75" customHeight="1" s="25"/>
    <row r="704" ht="15.75" customHeight="1" s="25"/>
    <row r="705" ht="15.75" customHeight="1" s="25"/>
    <row r="706" ht="15.75" customHeight="1" s="25"/>
    <row r="707" ht="15.75" customHeight="1" s="25"/>
    <row r="708" ht="15.75" customHeight="1" s="25"/>
    <row r="709" ht="15.75" customHeight="1" s="25"/>
    <row r="710" ht="15.75" customHeight="1" s="25"/>
    <row r="711" ht="15.75" customHeight="1" s="25"/>
    <row r="712" ht="15.75" customHeight="1" s="25"/>
    <row r="713" ht="15.75" customHeight="1" s="25"/>
    <row r="714" ht="15.75" customHeight="1" s="25"/>
    <row r="715" ht="15.75" customHeight="1" s="25"/>
    <row r="716" ht="15.75" customHeight="1" s="25"/>
    <row r="717" ht="15.75" customHeight="1" s="25"/>
    <row r="718" ht="15.75" customHeight="1" s="25"/>
    <row r="719" ht="15.75" customHeight="1" s="25"/>
    <row r="720" ht="15.75" customHeight="1" s="25"/>
    <row r="721" ht="15.75" customHeight="1" s="25"/>
    <row r="722" ht="15.75" customHeight="1" s="25"/>
    <row r="723" ht="15.75" customHeight="1" s="25"/>
    <row r="724" ht="15.75" customHeight="1" s="25"/>
    <row r="725" ht="15.75" customHeight="1" s="25"/>
    <row r="726" ht="15.75" customHeight="1" s="25"/>
    <row r="727" ht="15.75" customHeight="1" s="25"/>
    <row r="728" ht="15.75" customHeight="1" s="25"/>
    <row r="729" ht="15.75" customHeight="1" s="25"/>
    <row r="730" ht="15.75" customHeight="1" s="25"/>
    <row r="731" ht="15.75" customHeight="1" s="25"/>
    <row r="732" ht="15.75" customHeight="1" s="25"/>
    <row r="733" ht="15.75" customHeight="1" s="25"/>
    <row r="734" ht="15.75" customHeight="1" s="25"/>
    <row r="735" ht="15.75" customHeight="1" s="25"/>
    <row r="736" ht="15.75" customHeight="1" s="25"/>
    <row r="737" ht="15.75" customHeight="1" s="25"/>
    <row r="738" ht="15.75" customHeight="1" s="25"/>
    <row r="739" ht="15.75" customHeight="1" s="25"/>
    <row r="740" ht="15.75" customHeight="1" s="25"/>
    <row r="741" ht="15.75" customHeight="1" s="25"/>
    <row r="742" ht="15.75" customHeight="1" s="25"/>
    <row r="743" ht="15.75" customHeight="1" s="25"/>
    <row r="744" ht="15.75" customHeight="1" s="25"/>
    <row r="745" ht="15.75" customHeight="1" s="25"/>
    <row r="746" ht="15.75" customHeight="1" s="25"/>
    <row r="747" ht="15.75" customHeight="1" s="25"/>
    <row r="748" ht="15.75" customHeight="1" s="25"/>
    <row r="749" ht="15.75" customHeight="1" s="25"/>
    <row r="750" ht="15.75" customHeight="1" s="25"/>
    <row r="751" ht="15.75" customHeight="1" s="25"/>
    <row r="752" ht="15.75" customHeight="1" s="25"/>
    <row r="753" ht="15.75" customHeight="1" s="25"/>
    <row r="754" ht="15.75" customHeight="1" s="25"/>
    <row r="755" ht="15.75" customHeight="1" s="25"/>
    <row r="756" ht="15.75" customHeight="1" s="25"/>
    <row r="757" ht="15.75" customHeight="1" s="25"/>
    <row r="758" ht="15.75" customHeight="1" s="25"/>
    <row r="759" ht="15.75" customHeight="1" s="25"/>
    <row r="760" ht="15.75" customHeight="1" s="25"/>
    <row r="761" ht="15.75" customHeight="1" s="25"/>
    <row r="762" ht="15.75" customHeight="1" s="25"/>
    <row r="763" ht="15.75" customHeight="1" s="25"/>
    <row r="764" ht="15.75" customHeight="1" s="25"/>
    <row r="765" ht="15.75" customHeight="1" s="25"/>
    <row r="766" ht="15.75" customHeight="1" s="25"/>
    <row r="767" ht="15.75" customHeight="1" s="25"/>
    <row r="768" ht="15.75" customHeight="1" s="25"/>
    <row r="769" ht="15.75" customHeight="1" s="25"/>
    <row r="770" ht="15.75" customHeight="1" s="25"/>
    <row r="771" ht="15.75" customHeight="1" s="25"/>
    <row r="772" ht="15.75" customHeight="1" s="25"/>
    <row r="773" ht="15.75" customHeight="1" s="25"/>
    <row r="774" ht="15.75" customHeight="1" s="25"/>
    <row r="775" ht="15.75" customHeight="1" s="25"/>
    <row r="776" ht="15.75" customHeight="1" s="25"/>
    <row r="777" ht="15.75" customHeight="1" s="25"/>
    <row r="778" ht="15.75" customHeight="1" s="25"/>
    <row r="779" ht="15.75" customHeight="1" s="25"/>
    <row r="780" ht="15.75" customHeight="1" s="25"/>
    <row r="781" ht="15.75" customHeight="1" s="25"/>
    <row r="782" ht="15.75" customHeight="1" s="25"/>
    <row r="783" ht="15.75" customHeight="1" s="25"/>
    <row r="784" ht="15.75" customHeight="1" s="25"/>
    <row r="785" ht="15.75" customHeight="1" s="25"/>
    <row r="786" ht="15.75" customHeight="1" s="25"/>
    <row r="787" ht="15.75" customHeight="1" s="25"/>
    <row r="788" ht="15.75" customHeight="1" s="25"/>
    <row r="789" ht="15.75" customHeight="1" s="25"/>
    <row r="790" ht="15.75" customHeight="1" s="25"/>
    <row r="791" ht="15.75" customHeight="1" s="25"/>
    <row r="792" ht="15.75" customHeight="1" s="25"/>
    <row r="793" ht="15.75" customHeight="1" s="25"/>
    <row r="794" ht="15.75" customHeight="1" s="25"/>
    <row r="795" ht="15.75" customHeight="1" s="25"/>
    <row r="796" ht="15.75" customHeight="1" s="25"/>
    <row r="797" ht="15.75" customHeight="1" s="25"/>
    <row r="798" ht="15.75" customHeight="1" s="25"/>
    <row r="799" ht="15.75" customHeight="1" s="25"/>
    <row r="800" ht="15.75" customHeight="1" s="25"/>
    <row r="801" ht="15.75" customHeight="1" s="25"/>
    <row r="802" ht="15.75" customHeight="1" s="25"/>
    <row r="803" ht="15.75" customHeight="1" s="25"/>
    <row r="804" ht="15.75" customHeight="1" s="25"/>
    <row r="805" ht="15.75" customHeight="1" s="25"/>
    <row r="806" ht="15.75" customHeight="1" s="25"/>
    <row r="807" ht="15.75" customHeight="1" s="25"/>
    <row r="808" ht="15.75" customHeight="1" s="25"/>
    <row r="809" ht="15.75" customHeight="1" s="25"/>
    <row r="810" ht="15.75" customHeight="1" s="25"/>
    <row r="811" ht="15.75" customHeight="1" s="25"/>
    <row r="812" ht="15.75" customHeight="1" s="25"/>
    <row r="813" ht="15.75" customHeight="1" s="25"/>
    <row r="814" ht="15.75" customHeight="1" s="25"/>
    <row r="815" ht="15.75" customHeight="1" s="25"/>
    <row r="816" ht="15.75" customHeight="1" s="25"/>
    <row r="817" ht="15.75" customHeight="1" s="25"/>
    <row r="818" ht="15.75" customHeight="1" s="25"/>
    <row r="819" ht="15.75" customHeight="1" s="25"/>
    <row r="820" ht="15.75" customHeight="1" s="25"/>
    <row r="821" ht="15.75" customHeight="1" s="25"/>
    <row r="822" ht="15.75" customHeight="1" s="25"/>
    <row r="823" ht="15.75" customHeight="1" s="25"/>
    <row r="824" ht="15.75" customHeight="1" s="25"/>
    <row r="825" ht="15.75" customHeight="1" s="25"/>
    <row r="826" ht="15.75" customHeight="1" s="25"/>
    <row r="827" ht="15.75" customHeight="1" s="25"/>
    <row r="828" ht="15.75" customHeight="1" s="25"/>
    <row r="829" ht="15.75" customHeight="1" s="25"/>
    <row r="830" ht="15.75" customHeight="1" s="25"/>
    <row r="831" ht="15.75" customHeight="1" s="25"/>
    <row r="832" ht="15.75" customHeight="1" s="25"/>
    <row r="833" ht="15.75" customHeight="1" s="25"/>
    <row r="834" ht="15.75" customHeight="1" s="25"/>
    <row r="835" ht="15.75" customHeight="1" s="25"/>
    <row r="836" ht="15.75" customHeight="1" s="25"/>
    <row r="837" ht="15.75" customHeight="1" s="25"/>
    <row r="838" ht="15.75" customHeight="1" s="25"/>
    <row r="839" ht="15.75" customHeight="1" s="25"/>
    <row r="840" ht="15.75" customHeight="1" s="25"/>
    <row r="841" ht="15.75" customHeight="1" s="25"/>
    <row r="842" ht="15.75" customHeight="1" s="25"/>
    <row r="843" ht="15.75" customHeight="1" s="25"/>
    <row r="844" ht="15.75" customHeight="1" s="25"/>
    <row r="845" ht="15.75" customHeight="1" s="25"/>
    <row r="846" ht="15.75" customHeight="1" s="25"/>
    <row r="847" ht="15.75" customHeight="1" s="25"/>
    <row r="848" ht="15.75" customHeight="1" s="25"/>
    <row r="849" ht="15.75" customHeight="1" s="25"/>
    <row r="850" ht="15.75" customHeight="1" s="25"/>
    <row r="851" ht="15.75" customHeight="1" s="25"/>
    <row r="852" ht="15.75" customHeight="1" s="25"/>
    <row r="853" ht="15.75" customHeight="1" s="25"/>
    <row r="854" ht="15.75" customHeight="1" s="25"/>
    <row r="855" ht="15.75" customHeight="1" s="25"/>
    <row r="856" ht="15.75" customHeight="1" s="25"/>
    <row r="857" ht="15.75" customHeight="1" s="25"/>
    <row r="858" ht="15.75" customHeight="1" s="25"/>
    <row r="859" ht="15.75" customHeight="1" s="25"/>
    <row r="860" ht="15.75" customHeight="1" s="25"/>
    <row r="861" ht="15.75" customHeight="1" s="25"/>
    <row r="862" ht="15.75" customHeight="1" s="25"/>
    <row r="863" ht="15.75" customHeight="1" s="25"/>
    <row r="864" ht="15.75" customHeight="1" s="25"/>
    <row r="865" ht="15.75" customHeight="1" s="25"/>
    <row r="866" ht="15.75" customHeight="1" s="25"/>
    <row r="867" ht="15.75" customHeight="1" s="25"/>
    <row r="868" ht="15.75" customHeight="1" s="25"/>
    <row r="869" ht="15.75" customHeight="1" s="25"/>
    <row r="870" ht="15.75" customHeight="1" s="25"/>
    <row r="871" ht="15.75" customHeight="1" s="25"/>
    <row r="872" ht="15.75" customHeight="1" s="25"/>
    <row r="873" ht="15.75" customHeight="1" s="25"/>
    <row r="874" ht="15.75" customHeight="1" s="25"/>
    <row r="875" ht="15.75" customHeight="1" s="25"/>
    <row r="876" ht="15.75" customHeight="1" s="25"/>
    <row r="877" ht="15.75" customHeight="1" s="25"/>
    <row r="878" ht="15.75" customHeight="1" s="25"/>
    <row r="879" ht="15.75" customHeight="1" s="25"/>
    <row r="880" ht="15.75" customHeight="1" s="25"/>
    <row r="881" ht="15.75" customHeight="1" s="25"/>
    <row r="882" ht="15.75" customHeight="1" s="25"/>
    <row r="883" ht="15.75" customHeight="1" s="25"/>
    <row r="884" ht="15.75" customHeight="1" s="25"/>
    <row r="885" ht="15.75" customHeight="1" s="25"/>
    <row r="886" ht="15.75" customHeight="1" s="25"/>
    <row r="887" ht="15.75" customHeight="1" s="25"/>
    <row r="888" ht="15.75" customHeight="1" s="25"/>
    <row r="889" ht="15.75" customHeight="1" s="25"/>
    <row r="890" ht="15.75" customHeight="1" s="25"/>
    <row r="891" ht="15.75" customHeight="1" s="25"/>
    <row r="892" ht="15.75" customHeight="1" s="25"/>
    <row r="893" ht="15.75" customHeight="1" s="25"/>
    <row r="894" ht="15.75" customHeight="1" s="25"/>
    <row r="895" ht="15.75" customHeight="1" s="25"/>
    <row r="896" ht="15.75" customHeight="1" s="25"/>
    <row r="897" ht="15.75" customHeight="1" s="25"/>
    <row r="898" ht="15.75" customHeight="1" s="25"/>
    <row r="899" ht="15.75" customHeight="1" s="25"/>
    <row r="900" ht="15.75" customHeight="1" s="25"/>
    <row r="901" ht="15.75" customHeight="1" s="25"/>
    <row r="902" ht="15.75" customHeight="1" s="25"/>
    <row r="903" ht="15.75" customHeight="1" s="25"/>
    <row r="904" ht="15.75" customHeight="1" s="25"/>
    <row r="905" ht="15.75" customHeight="1" s="25"/>
    <row r="906" ht="15.75" customHeight="1" s="25"/>
    <row r="907" ht="15.75" customHeight="1" s="25"/>
    <row r="908" ht="15.75" customHeight="1" s="25"/>
    <row r="909" ht="15.75" customHeight="1" s="25"/>
    <row r="910" ht="15.75" customHeight="1" s="25"/>
    <row r="911" ht="15.75" customHeight="1" s="25"/>
    <row r="912" ht="15.75" customHeight="1" s="25"/>
    <row r="913" ht="15.75" customHeight="1" s="25"/>
    <row r="914" ht="15.75" customHeight="1" s="25"/>
    <row r="915" ht="15.75" customHeight="1" s="25"/>
    <row r="916" ht="15.75" customHeight="1" s="25"/>
    <row r="917" ht="15.75" customHeight="1" s="25"/>
    <row r="918" ht="15.75" customHeight="1" s="25"/>
    <row r="919" ht="15.75" customHeight="1" s="25"/>
    <row r="920" ht="15.75" customHeight="1" s="25"/>
    <row r="921" ht="15.75" customHeight="1" s="25"/>
    <row r="922" ht="15.75" customHeight="1" s="25"/>
    <row r="923" ht="15.75" customHeight="1" s="25"/>
    <row r="924" ht="15.75" customHeight="1" s="25"/>
    <row r="925" ht="15.75" customHeight="1" s="25"/>
    <row r="926" ht="15.75" customHeight="1" s="25"/>
    <row r="927" ht="15.75" customHeight="1" s="25"/>
    <row r="928" ht="15.75" customHeight="1" s="25"/>
    <row r="929" ht="15.75" customHeight="1" s="25"/>
    <row r="930" ht="15.75" customHeight="1" s="25"/>
    <row r="931" ht="15.75" customHeight="1" s="25"/>
    <row r="932" ht="15.75" customHeight="1" s="25"/>
    <row r="933" ht="15.75" customHeight="1" s="25"/>
    <row r="934" ht="15.75" customHeight="1" s="25"/>
    <row r="935" ht="15.75" customHeight="1" s="25"/>
    <row r="936" ht="15.75" customHeight="1" s="25"/>
    <row r="937" ht="15.75" customHeight="1" s="25"/>
    <row r="938" ht="15.75" customHeight="1" s="25"/>
    <row r="939" ht="15.75" customHeight="1" s="25"/>
    <row r="940" ht="15.75" customHeight="1" s="25"/>
    <row r="941" ht="15.75" customHeight="1" s="25"/>
    <row r="942" ht="15.75" customHeight="1" s="25"/>
    <row r="943" ht="15.75" customHeight="1" s="25"/>
    <row r="944" ht="15.75" customHeight="1" s="25"/>
    <row r="945" ht="15.75" customHeight="1" s="25"/>
    <row r="946" ht="15.75" customHeight="1" s="25"/>
    <row r="947" ht="15.75" customHeight="1" s="25"/>
    <row r="948" ht="15.75" customHeight="1" s="25"/>
    <row r="949" ht="15.75" customHeight="1" s="25"/>
    <row r="950" ht="15.75" customHeight="1" s="25"/>
    <row r="951" ht="15.75" customHeight="1" s="25"/>
    <row r="952" ht="15.75" customHeight="1" s="25"/>
    <row r="953" ht="15.75" customHeight="1" s="25"/>
    <row r="954" ht="15.75" customHeight="1" s="25"/>
    <row r="955" ht="15.75" customHeight="1" s="25"/>
    <row r="956" ht="15.75" customHeight="1" s="25"/>
    <row r="957" ht="15.75" customHeight="1" s="25"/>
    <row r="958" ht="15.75" customHeight="1" s="25"/>
    <row r="959" ht="15.75" customHeight="1" s="25"/>
    <row r="960" ht="15.75" customHeight="1" s="25"/>
    <row r="961" ht="15.75" customHeight="1" s="25"/>
    <row r="962" ht="15.75" customHeight="1" s="25"/>
    <row r="963" ht="15.75" customHeight="1" s="25"/>
    <row r="964" ht="15.75" customHeight="1" s="25"/>
    <row r="965" ht="15.75" customHeight="1" s="25"/>
    <row r="966" ht="15.75" customHeight="1" s="25"/>
    <row r="967" ht="15.75" customHeight="1" s="25"/>
    <row r="968" ht="15.75" customHeight="1" s="25"/>
    <row r="969" ht="15.75" customHeight="1" s="25"/>
    <row r="970" ht="15.75" customHeight="1" s="25"/>
    <row r="971" ht="15.75" customHeight="1" s="25"/>
    <row r="972" ht="15.75" customHeight="1" s="25"/>
    <row r="973" ht="15.75" customHeight="1" s="25"/>
    <row r="974" ht="15.75" customHeight="1" s="25"/>
    <row r="975" ht="15.75" customHeight="1" s="25"/>
    <row r="976" ht="15.75" customHeight="1" s="25"/>
    <row r="977" ht="15.75" customHeight="1" s="25"/>
    <row r="978" ht="15.75" customHeight="1" s="25"/>
    <row r="979" ht="15.75" customHeight="1" s="25"/>
    <row r="980" ht="15.75" customHeight="1" s="25"/>
    <row r="981" ht="15.75" customHeight="1" s="25"/>
    <row r="982" ht="15.75" customHeight="1" s="25"/>
    <row r="983" ht="15.75" customHeight="1" s="25"/>
    <row r="984" ht="15.75" customHeight="1" s="25"/>
    <row r="985" ht="15.75" customHeight="1" s="25"/>
    <row r="986" ht="15.75" customHeight="1" s="25"/>
    <row r="987" ht="15.75" customHeight="1" s="25"/>
    <row r="988" ht="15.75" customHeight="1" s="25"/>
    <row r="989" ht="15.75" customHeight="1" s="25"/>
    <row r="990" ht="15.75" customHeight="1" s="25"/>
    <row r="991" ht="15.75" customHeight="1" s="25"/>
    <row r="992" ht="15.75" customHeight="1" s="25"/>
    <row r="993" ht="15.75" customHeight="1" s="25"/>
    <row r="994" ht="15.75" customHeight="1" s="25"/>
    <row r="995" ht="15.75" customHeight="1" s="25"/>
    <row r="996" ht="15.75" customHeight="1" s="25"/>
    <row r="997" ht="15.75" customHeight="1" s="25"/>
    <row r="998" ht="15.75" customHeight="1" s="25"/>
    <row r="999" ht="15.75" customHeight="1" s="25"/>
    <row r="1000" ht="15.75" customHeight="1" s="25"/>
  </sheetData>
  <autoFilter ref="A4:L17"/>
  <mergeCells count="2">
    <mergeCell ref="A2:L2"/>
    <mergeCell ref="A1:L1"/>
  </mergeCells>
  <conditionalFormatting sqref="A5:L17">
    <cfRule type="expression" rank="0" priority="2" equalAverage="0" aboveAverage="0" dxfId="7" text="" percent="0" bottom="0">
      <formula>$F5="Built"</formula>
    </cfRule>
    <cfRule type="expression" rank="0" priority="3" equalAverage="0" aboveAverage="0" dxfId="8" text="" percent="0" bottom="0">
      <formula>$F5="Verify"</formula>
    </cfRule>
    <cfRule type="expression" rank="0" priority="4" equalAverage="0" aboveAverage="0" dxfId="9" text="" percent="0" bottom="0">
      <formula>$F5="To build"</formula>
    </cfRule>
    <cfRule type="expression" rank="0" priority="5" equalAverage="0" aboveAverage="0" dxfId="10" text="" percent="0" bottom="0">
      <formula>$F5="Deferred"</formula>
    </cfRule>
    <cfRule type="expression" rank="0" priority="6" equalAverage="0" aboveAverage="0" dxfId="10" text="" percent="0" bottom="0">
      <formula>$F5="Closed"</formula>
    </cfRule>
  </conditionalFormatting>
  <dataValidations count="1">
    <dataValidation sqref="F5:F17" showDropDown="0" showInputMessage="0" showErrorMessage="0" allowBlank="1" type="list" errorStyle="stop" operator="between">
      <formula1>"Built,Verify,To build,Deferred,Closed"</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N90"/>
  <sheetViews>
    <sheetView showFormulas="0" showGridLines="1" showRowColHeaders="1" showZeros="1" rightToLeft="0" tabSelected="0" showOutlineSymbols="1" defaultGridColor="1"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D5" activeCellId="0" sqref="D5"/>
    </sheetView>
  </sheetViews>
  <sheetFormatPr baseColWidth="8" defaultColWidth="14.43359375" defaultRowHeight="15" zeroHeight="0" outlineLevelRow="0"/>
  <cols>
    <col width="6" customWidth="1" style="24" min="1" max="1"/>
    <col width="22" customWidth="1" style="24" min="2" max="2"/>
    <col width="16" customWidth="1" style="24" min="3" max="3"/>
    <col width="24" customWidth="1" style="24" min="4" max="4"/>
    <col width="10" customWidth="1" style="24" min="5" max="5"/>
    <col width="7" customWidth="1" style="24" min="6" max="6"/>
    <col width="14" customWidth="1" style="24" min="7" max="7"/>
    <col width="10" customWidth="1" style="24" min="8" max="8"/>
    <col width="12" customWidth="1" style="24" min="9" max="9"/>
    <col width="52" customWidth="1" style="24" min="10" max="10"/>
    <col width="40" customWidth="1" style="24" min="11" max="11"/>
    <col width="34" customWidth="1" style="24" min="12" max="12"/>
    <col width="14" customWidth="1" style="24" min="13" max="13"/>
    <col width="40" customWidth="1" style="24" min="14" max="14"/>
    <col width="8.710000000000001" customWidth="1" style="24" min="15" max="26"/>
  </cols>
  <sheetData>
    <row r="1" ht="25.5" customHeight="1" s="25">
      <c r="A1" s="26" t="inlineStr">
        <is>
          <t>Fields</t>
        </is>
      </c>
    </row>
    <row r="2" ht="30" customHeight="1" s="25">
      <c r="A2" s="29" t="inlineStr">
        <is>
          <t>One row per field. What the value must be is the rule to build and test against. Grey rows need nothing in Wave 1A.</t>
        </is>
      </c>
    </row>
    <row r="3" ht="15" customHeight="1" s="25"/>
    <row r="4" ht="30" customHeight="1" s="25">
      <c r="A4" s="43" t="inlineStr">
        <is>
          <t>ID</t>
        </is>
      </c>
      <c r="B4" s="43" t="inlineStr">
        <is>
          <t>Event</t>
        </is>
      </c>
      <c r="C4" s="43" t="inlineStr">
        <is>
          <t>Field name</t>
        </is>
      </c>
      <c r="D4" s="43" t="inlineStr">
        <is>
          <t>Type and example</t>
        </is>
      </c>
      <c r="E4" s="43" t="inlineStr">
        <is>
          <t>Priority</t>
        </is>
      </c>
      <c r="F4" s="43" t="inlineStr">
        <is>
          <t>Req ref</t>
        </is>
      </c>
      <c r="G4" s="43" t="inlineStr">
        <is>
          <t>Owner</t>
        </is>
      </c>
      <c r="H4" s="43" t="inlineStr">
        <is>
          <t>Status</t>
        </is>
      </c>
      <c r="I4" s="43" t="inlineStr">
        <is>
          <t>Built on / due by</t>
        </is>
      </c>
      <c r="J4" s="43" t="inlineStr">
        <is>
          <t>What the value must be</t>
        </is>
      </c>
      <c r="K4" s="43" t="inlineStr">
        <is>
          <t>How to check it is right</t>
        </is>
      </c>
      <c r="L4" s="43" t="inlineStr">
        <is>
          <t>Why this field is needed</t>
        </is>
      </c>
      <c r="M4" s="43" t="inlineStr">
        <is>
          <t>Decided in</t>
        </is>
      </c>
      <c r="N4" s="43" t="inlineStr">
        <is>
          <t>Note</t>
        </is>
      </c>
    </row>
    <row r="5" ht="38.25" customHeight="1" s="25">
      <c r="A5" s="44" t="inlineStr">
        <is>
          <t>F01</t>
        </is>
      </c>
      <c r="B5" s="45" t="inlineStr">
        <is>
          <t>recommendation_request</t>
        </is>
      </c>
      <c r="C5" s="45" t="inlineStr">
        <is>
          <t>request_id</t>
        </is>
      </c>
      <c r="D5" s="45" t="inlineStr">
        <is>
          <t>string  ·  3f1c9a2e-7b4d-4e21-9c8a-5d6e7f8a9b0c</t>
        </is>
      </c>
      <c r="E5" s="45" t="inlineStr">
        <is>
          <t>Blocking</t>
        </is>
      </c>
      <c r="F5" s="45" t="inlineStr">
        <is>
          <t>R1</t>
        </is>
      </c>
      <c r="G5" s="45" t="inlineStr">
        <is>
          <t>Allen</t>
        </is>
      </c>
      <c r="H5" s="45" t="inlineStr">
        <is>
          <t>To build</t>
        </is>
      </c>
      <c r="I5" s="45" t="n"/>
      <c r="J5" s="45" t="inlineStr">
        <is>
          <t>Generated by the recommendation service, one per list, returned in the response and written on E1.</t>
        </is>
      </c>
      <c r="K5" s="45" t="inlineStr">
        <is>
          <t>Sample a hundred child events and join back to the request. Zero orphans.</t>
        </is>
      </c>
      <c r="L5" s="45" t="inlineStr">
        <is>
          <t>The single identifier that links a request to everything that follows from it</t>
        </is>
      </c>
      <c r="M5" s="45" t="inlineStr">
        <is>
          <t>F01</t>
        </is>
      </c>
      <c r="N5" s="45" t="inlineStr">
        <is>
          <t>Built by ENG-06. The app already stores and echoes a request_id (F08).</t>
        </is>
      </c>
    </row>
    <row r="6" ht="38.25" customHeight="1" s="25">
      <c r="A6" s="44" t="inlineStr">
        <is>
          <t>F02</t>
        </is>
      </c>
      <c r="B6" s="45" t="inlineStr">
        <is>
          <t>recommendation_request</t>
        </is>
      </c>
      <c r="C6" s="45" t="inlineStr">
        <is>
          <t>surface</t>
        </is>
      </c>
      <c r="D6" s="45" t="inlineStr">
        <is>
          <t>enum  ·  feed</t>
        </is>
      </c>
      <c r="E6" s="45" t="inlineStr">
        <is>
          <t>Blocking</t>
        </is>
      </c>
      <c r="F6" s="45" t="inlineStr">
        <is>
          <t>R1</t>
        </is>
      </c>
      <c r="G6" s="45" t="inlineStr">
        <is>
          <t>Aravinth; Allen</t>
        </is>
      </c>
      <c r="H6" s="45" t="inlineStr">
        <is>
          <t>Built</t>
        </is>
      </c>
      <c r="I6" s="46" t="n">
        <v>46286</v>
      </c>
      <c r="J6" s="45" t="inlineStr">
        <is>
          <t>Set by SOCO_BE at the call: feed or product only. products → product; for you, following, trending and local → feed. The service rejects any other value.</t>
        </is>
      </c>
      <c r="K6" s="45" t="inlineStr">
        <is>
          <t>Values are only feed or product. No nulls. Set at the call, never inferred.</t>
        </is>
      </c>
      <c r="L6" s="45" t="inlineStr">
        <is>
          <t>Which surface asked. Each surface is ranked differently</t>
        </is>
      </c>
      <c r="M6" s="45" t="inlineStr">
        <is>
          <t>F02, X-11</t>
        </is>
      </c>
      <c r="N6" s="45" t="inlineStr">
        <is>
          <t>28 Sep 2026: Platform rows carry native surfaces (home_for_you, product_detail, cart, post_detail). The engine maps home_for_you to feed and product_detail and cart to product. Other tabs and post_detail are not engine surfaces.</t>
        </is>
      </c>
    </row>
    <row r="7" ht="25.5" customHeight="1" s="25">
      <c r="A7" s="44" t="inlineStr">
        <is>
          <t>F03</t>
        </is>
      </c>
      <c r="B7" s="45" t="inlineStr">
        <is>
          <t>recommendation_request</t>
        </is>
      </c>
      <c r="C7" s="45" t="inlineStr">
        <is>
          <t>user_id</t>
        </is>
      </c>
      <c r="D7" s="45" t="inlineStr">
        <is>
          <t>string  ·  65f1a2b3c4d5e6f708192a3b</t>
        </is>
      </c>
      <c r="E7" s="45" t="inlineStr">
        <is>
          <t>Blocking</t>
        </is>
      </c>
      <c r="F7" s="45" t="inlineStr">
        <is>
          <t>R6</t>
        </is>
      </c>
      <c r="G7" s="45" t="inlineStr">
        <is>
          <t>Allen</t>
        </is>
      </c>
      <c r="H7" s="45" t="inlineStr">
        <is>
          <t>Closed</t>
        </is>
      </c>
      <c r="I7" s="45" t="n"/>
      <c r="J7" s="45" t="inlineStr">
        <is>
          <t>No change. Already captured.</t>
        </is>
      </c>
      <c r="K7" s="45" t="inlineStr">
        <is>
          <t>Populated on every event from a logged in session, and resolves to a user document.</t>
        </is>
      </c>
      <c r="L7" s="45" t="inlineStr">
        <is>
          <t>Who the request was for</t>
        </is>
      </c>
      <c r="M7" s="45" t="inlineStr">
        <is>
          <t>F03</t>
        </is>
      </c>
      <c r="N7" s="45" t="n"/>
    </row>
    <row r="8" ht="51" customHeight="1" s="25">
      <c r="A8" s="44" t="inlineStr">
        <is>
          <t>F04</t>
        </is>
      </c>
      <c r="B8" s="45" t="inlineStr">
        <is>
          <t>recommendation_request</t>
        </is>
      </c>
      <c r="C8" s="45" t="inlineStr">
        <is>
          <t>session_id</t>
        </is>
      </c>
      <c r="D8" s="45" t="inlineStr">
        <is>
          <t>string  ·  ses_k2m9q4x1a8b3</t>
        </is>
      </c>
      <c r="E8" s="45" t="inlineStr">
        <is>
          <t>Important</t>
        </is>
      </c>
      <c r="F8" s="45" t="inlineStr">
        <is>
          <t>R6</t>
        </is>
      </c>
      <c r="G8" s="45" t="inlineStr">
        <is>
          <t>Aravinth; Allen</t>
        </is>
      </c>
      <c r="H8" s="45" t="inlineStr">
        <is>
          <t>Verify</t>
        </is>
      </c>
      <c r="I8" s="46" t="n"/>
      <c r="J8" s="45" t="inlineStr">
        <is>
          <t>The app session id (X-10): kept across restarts; a new one after 30 minutes or more away (background or closed); does not expire during use. Passed by SOCO_BE and written on E1.</t>
        </is>
      </c>
      <c r="K8" s="45" t="inlineStr">
        <is>
          <t>Stable across a visit, including a cold restart. Changes after 30 minutes in background.</t>
        </is>
      </c>
      <c r="L8" s="45" t="inlineStr">
        <is>
          <t>Groups activity within one visit</t>
        </is>
      </c>
      <c r="M8" s="45" t="inlineStr">
        <is>
          <t>F04, X-10</t>
        </is>
      </c>
      <c r="N8" s="45" t="inlineStr">
        <is>
          <t>28 Sep 2026: Reported built (answers Q14). Device check: build list APP-01.</t>
        </is>
      </c>
    </row>
    <row r="9" ht="38.25" customHeight="1" s="25">
      <c r="A9" s="44" t="inlineStr">
        <is>
          <t>F05</t>
        </is>
      </c>
      <c r="B9" s="45" t="inlineStr">
        <is>
          <t>recommendation_request</t>
        </is>
      </c>
      <c r="C9" s="45" t="inlineStr">
        <is>
          <t>candidate_ids</t>
        </is>
      </c>
      <c r="D9" s="45" t="inlineStr">
        <is>
          <t>array  ·  [6a3fe5cf…7fe, 6a5a79d9…1dd, ...]</t>
        </is>
      </c>
      <c r="E9" s="45" t="inlineStr">
        <is>
          <t>Blocking</t>
        </is>
      </c>
      <c r="F9" s="45" t="inlineStr">
        <is>
          <t>R2</t>
        </is>
      </c>
      <c r="G9" s="45" t="inlineStr">
        <is>
          <t>Allen</t>
        </is>
      </c>
      <c r="H9" s="45" t="inlineStr">
        <is>
          <t>To build</t>
        </is>
      </c>
      <c r="I9" s="45" t="n"/>
      <c r="J9" s="45" t="inlineStr">
        <is>
          <t>Written on E1 only. Never returned to the app.</t>
        </is>
      </c>
      <c r="K9" s="45" t="inlineStr">
        <is>
          <t>Length is at least the number of items shown, and the items shown are all in it. On a small catalogue the two can be equal, which is correct.</t>
        </is>
      </c>
      <c r="L9" s="45" t="inlineStr">
        <is>
          <t>What was available to choose from, including items not shown</t>
        </is>
      </c>
      <c r="M9" s="45" t="inlineStr">
        <is>
          <t>F05</t>
        </is>
      </c>
      <c r="N9" s="45" t="inlineStr">
        <is>
          <t>Built by ENG-06.</t>
        </is>
      </c>
    </row>
    <row r="10" ht="25.5" customHeight="1" s="25">
      <c r="A10" s="44" t="inlineStr">
        <is>
          <t>F06</t>
        </is>
      </c>
      <c r="B10" s="45" t="inlineStr">
        <is>
          <t>recommendation_request</t>
        </is>
      </c>
      <c r="C10" s="45" t="inlineStr">
        <is>
          <t>policy_id</t>
        </is>
      </c>
      <c r="D10" s="45" t="inlineStr">
        <is>
          <t>string  ·  cfg3.interest-2.promoter-1</t>
        </is>
      </c>
      <c r="E10" s="45" t="inlineStr">
        <is>
          <t>Blocking</t>
        </is>
      </c>
      <c r="F10" s="45" t="inlineStr">
        <is>
          <t>R3</t>
        </is>
      </c>
      <c r="G10" s="45" t="inlineStr">
        <is>
          <t>Allen; Aravinth</t>
        </is>
      </c>
      <c r="H10" s="45" t="inlineStr">
        <is>
          <t>To build</t>
        </is>
      </c>
      <c r="I10" s="46" t="n"/>
      <c r="J10" s="45" t="inlineStr">
        <is>
          <t>Engine lists: configuration version plus, on two-method slots, the method that served (cfg…). Fallback lists keep the platform's own policy_id (wave1a_v1 or prodrec_v1).</t>
        </is>
      </c>
      <c r="K10" s="45" t="inlineStr">
        <is>
          <t>Changes when the ranking configuration changes, and the change is timestamped.</t>
        </is>
      </c>
      <c r="L10" s="45" t="inlineStr">
        <is>
          <t>Which version of the ranking logic produced this list</t>
        </is>
      </c>
      <c r="M10" s="45" t="inlineStr">
        <is>
          <t>F06</t>
        </is>
      </c>
      <c r="N10" s="45" t="inlineStr">
        <is>
          <t>28 Sep 2026: Any policy_id not starting with cfg is a fallback list.</t>
        </is>
      </c>
    </row>
    <row r="11" ht="25.5" customHeight="1" s="25">
      <c r="A11" s="44" t="inlineStr">
        <is>
          <t>F07</t>
        </is>
      </c>
      <c r="B11" s="45" t="inlineStr">
        <is>
          <t>recommendation_request</t>
        </is>
      </c>
      <c r="C11" s="45" t="inlineStr">
        <is>
          <t>server_ts</t>
        </is>
      </c>
      <c r="D11" s="45" t="inlineStr">
        <is>
          <t>datetime  ·  2026-11-04T09:15:22.140Z</t>
        </is>
      </c>
      <c r="E11" s="45" t="inlineStr">
        <is>
          <t>Blocking</t>
        </is>
      </c>
      <c r="F11" s="45" t="inlineStr">
        <is>
          <t>R7</t>
        </is>
      </c>
      <c r="G11" s="45" t="inlineStr">
        <is>
          <t>Allen</t>
        </is>
      </c>
      <c r="H11" s="45" t="inlineStr">
        <is>
          <t>To build</t>
        </is>
      </c>
      <c r="I11" s="45" t="n"/>
      <c r="J11" s="45" t="inlineStr">
        <is>
          <t>UTC with milliseconds, at decision time.</t>
        </is>
      </c>
      <c r="K11" s="45" t="inlineStr">
        <is>
          <t>UTC, ISO 8601, millisecond precision, and not equal to the time the event was ingested.</t>
        </is>
      </c>
      <c r="L11" s="45" t="inlineStr">
        <is>
          <t>When the decision was made, in UTC</t>
        </is>
      </c>
      <c r="M11" s="45" t="inlineStr">
        <is>
          <t>F07</t>
        </is>
      </c>
      <c r="N11" s="45" t="inlineStr">
        <is>
          <t>Built by ENG-06.</t>
        </is>
      </c>
    </row>
    <row r="12" ht="25.5" customHeight="1" s="25">
      <c r="A12" s="44" t="inlineStr">
        <is>
          <t>F08</t>
        </is>
      </c>
      <c r="B12" s="45" t="inlineStr">
        <is>
          <t>recommendation_impression</t>
        </is>
      </c>
      <c r="C12" s="45" t="inlineStr">
        <is>
          <t>request_id</t>
        </is>
      </c>
      <c r="D12" s="45" t="inlineStr">
        <is>
          <t>string  ·  3f1c9a2e-7b4d-4e21-9c8a-5d6e7f8a9b0c</t>
        </is>
      </c>
      <c r="E12" s="45" t="inlineStr">
        <is>
          <t>Blocking</t>
        </is>
      </c>
      <c r="F12" s="45" t="inlineStr">
        <is>
          <t>R1</t>
        </is>
      </c>
      <c r="G12" s="45" t="inlineStr">
        <is>
          <t>Aravinth</t>
        </is>
      </c>
      <c r="H12" s="45" t="inlineStr">
        <is>
          <t>Built</t>
        </is>
      </c>
      <c r="I12" s="46" t="n">
        <v>46286</v>
      </c>
      <c r="J12" s="45" t="inlineStr">
        <is>
          <t>The app stores request_id for each page and sends it on every impression from that page.</t>
        </is>
      </c>
      <c r="K12" s="45" t="inlineStr">
        <is>
          <t>Sample a hundred child events and join back to the request. Zero orphans, and no nulls.</t>
        </is>
      </c>
      <c r="L12" s="45" t="inlineStr">
        <is>
          <t>Links the impression back to the request</t>
        </is>
      </c>
      <c r="M12" s="45" t="inlineStr">
        <is>
          <t>F08, X-07</t>
        </is>
      </c>
      <c r="N12" s="45" t="n"/>
    </row>
    <row r="13" ht="25.5" customHeight="1" s="25">
      <c r="A13" s="44" t="inlineStr">
        <is>
          <t>F09</t>
        </is>
      </c>
      <c r="B13" s="45" t="inlineStr">
        <is>
          <t>recommendation_impression</t>
        </is>
      </c>
      <c r="C13" s="45" t="inlineStr">
        <is>
          <t>item_id</t>
        </is>
      </c>
      <c r="D13" s="45" t="inlineStr">
        <is>
          <t>string  ·  6a3fe5cfcce0b0785136e7fe</t>
        </is>
      </c>
      <c r="E13" s="45" t="inlineStr">
        <is>
          <t>Blocking</t>
        </is>
      </c>
      <c r="F13" s="45" t="inlineStr">
        <is>
          <t>R2</t>
        </is>
      </c>
      <c r="G13" s="45" t="inlineStr">
        <is>
          <t>Aravinth</t>
        </is>
      </c>
      <c r="H13" s="45" t="inlineStr">
        <is>
          <t>Built</t>
        </is>
      </c>
      <c r="I13" s="46" t="n">
        <v>46286</v>
      </c>
      <c r="J13" s="45" t="inlineStr">
        <is>
          <t>The id of the card shown, as the 24-character ObjectId string: a post id on a post card (including a post that shows a product), a product id on a product card. post_id and product_id are kept alongside (F75).</t>
        </is>
      </c>
      <c r="K13" s="45" t="inlineStr">
        <is>
          <t>Resolves to a post or product document.</t>
        </is>
      </c>
      <c r="L13" s="45" t="inlineStr">
        <is>
          <t>Which item was shown</t>
        </is>
      </c>
      <c r="M13" s="45" t="inlineStr">
        <is>
          <t>F09</t>
        </is>
      </c>
      <c r="N13" s="45" t="n"/>
    </row>
    <row r="14" ht="25.5" customHeight="1" s="25">
      <c r="A14" s="44" t="inlineStr">
        <is>
          <t>F10</t>
        </is>
      </c>
      <c r="B14" s="45" t="inlineStr">
        <is>
          <t>recommendation_impression</t>
        </is>
      </c>
      <c r="C14" s="45" t="inlineStr">
        <is>
          <t>item_type</t>
        </is>
      </c>
      <c r="D14" s="45" t="inlineStr">
        <is>
          <t>enum  ·  product</t>
        </is>
      </c>
      <c r="E14" s="45" t="inlineStr">
        <is>
          <t>Blocking</t>
        </is>
      </c>
      <c r="F14" s="45" t="inlineStr">
        <is>
          <t>R2</t>
        </is>
      </c>
      <c r="G14" s="45" t="inlineStr">
        <is>
          <t>Aravinth</t>
        </is>
      </c>
      <c r="H14" s="45" t="inlineStr">
        <is>
          <t>Built</t>
        </is>
      </c>
      <c r="I14" s="46" t="n">
        <v>46286</v>
      </c>
      <c r="J14" s="45" t="inlineStr">
        <is>
          <t>post for post cards, product for product cards. No other value in Wave 1A.</t>
        </is>
      </c>
      <c r="K14" s="45" t="inlineStr">
        <is>
          <t>Values are only post or product.</t>
        </is>
      </c>
      <c r="L14" s="45" t="inlineStr">
        <is>
          <t>Tells the engine what kind of card was shown</t>
        </is>
      </c>
      <c r="M14" s="45" t="inlineStr">
        <is>
          <t>F10</t>
        </is>
      </c>
      <c r="N14" s="45" t="inlineStr">
        <is>
          <t>28 Sep 2026: On platform feed lists, item_type product with a post id is a post card showing a product: read post_id = item_id (X-16).</t>
        </is>
      </c>
    </row>
    <row r="15" ht="38.25" customHeight="1" s="25">
      <c r="A15" s="44" t="inlineStr">
        <is>
          <t>F11</t>
        </is>
      </c>
      <c r="B15" s="45" t="inlineStr">
        <is>
          <t>recommendation_impression</t>
        </is>
      </c>
      <c r="C15" s="45" t="inlineStr">
        <is>
          <t>position</t>
        </is>
      </c>
      <c r="D15" s="45" t="inlineStr">
        <is>
          <t>integer  ·  4</t>
        </is>
      </c>
      <c r="E15" s="45" t="inlineStr">
        <is>
          <t>Blocking</t>
        </is>
      </c>
      <c r="F15" s="45" t="inlineStr">
        <is>
          <t>R2</t>
        </is>
      </c>
      <c r="G15" s="45" t="inlineStr">
        <is>
          <t>Aravinth</t>
        </is>
      </c>
      <c r="H15" s="45" t="inlineStr">
        <is>
          <t>Built</t>
        </is>
      </c>
      <c r="I15" s="46" t="n">
        <v>46286</v>
      </c>
      <c r="J15" s="45" t="inlineStr">
        <is>
          <t>From 1, in on-screen order, within each request. Each page is its own request. 0 is invalid. SOCO_BE shows engine lists unchanged, so this is the position the engine returned.</t>
        </is>
      </c>
      <c r="K15" s="45" t="inlineStr">
        <is>
          <t>Integers from 1 upward within a single request, with no gaps in the positions served. Clicked positions need not be consecutive, and click rate need not fall at every position.</t>
        </is>
      </c>
      <c r="L15" s="45" t="inlineStr">
        <is>
          <t>Where it appeared. Items at the top get clicked more regardless of quality</t>
        </is>
      </c>
      <c r="M15" s="45" t="inlineStr">
        <is>
          <t>F11, X-06</t>
        </is>
      </c>
      <c r="N15" s="45" t="inlineStr">
        <is>
          <t>29 Sep 2026: X-06. engine_position is no longer needed.</t>
        </is>
      </c>
    </row>
    <row r="16" ht="38.25" customHeight="1" s="25">
      <c r="A16" s="44" t="inlineStr">
        <is>
          <t>F12</t>
        </is>
      </c>
      <c r="B16" s="45" t="inlineStr">
        <is>
          <t>recommendation_impression</t>
        </is>
      </c>
      <c r="C16" s="45" t="inlineStr">
        <is>
          <t>viewport_entered</t>
        </is>
      </c>
      <c r="D16" s="45" t="inlineStr">
        <is>
          <t>boolean  ·  true</t>
        </is>
      </c>
      <c r="E16" s="45" t="inlineStr">
        <is>
          <t>Blocking</t>
        </is>
      </c>
      <c r="F16" s="45" t="inlineStr">
        <is>
          <t>R2</t>
        </is>
      </c>
      <c r="G16" s="45" t="inlineStr">
        <is>
          <t>Aravinth</t>
        </is>
      </c>
      <c r="H16" s="45" t="inlineStr">
        <is>
          <t>Built</t>
        </is>
      </c>
      <c r="I16" s="46" t="n">
        <v>46286</v>
      </c>
      <c r="J16" s="45" t="inlineStr">
        <is>
          <t>True when at least 50% of the item is on screen, for every media type. Always true on a sent impression.</t>
        </is>
      </c>
      <c r="K16" s="45" t="inlineStr">
        <is>
          <t>Every sent row is true. Served-but-unseen items are derived from E1 served_items, not sent.</t>
        </is>
      </c>
      <c r="L16" s="45" t="inlineStr">
        <is>
          <t>Whether the user actually saw it</t>
        </is>
      </c>
      <c r="M16" s="45" t="inlineStr">
        <is>
          <t>F12, X-04, X-05</t>
        </is>
      </c>
      <c r="N16" s="45" t="n"/>
    </row>
    <row r="17" ht="38.25" customHeight="1" s="25">
      <c r="A17" s="44" t="inlineStr">
        <is>
          <t>F13</t>
        </is>
      </c>
      <c r="B17" s="45" t="inlineStr">
        <is>
          <t>recommendation_impression</t>
        </is>
      </c>
      <c r="C17" s="45" t="inlineStr">
        <is>
          <t>dwell_ms</t>
        </is>
      </c>
      <c r="D17" s="45" t="inlineStr">
        <is>
          <t>integer  ·  2400</t>
        </is>
      </c>
      <c r="E17" s="45" t="inlineStr">
        <is>
          <t>Important</t>
        </is>
      </c>
      <c r="F17" s="45" t="inlineStr">
        <is>
          <t>R2</t>
        </is>
      </c>
      <c r="G17" s="45" t="inlineStr">
        <is>
          <t>Aravinth</t>
        </is>
      </c>
      <c r="H17" s="45" t="inlineStr">
        <is>
          <t>Built</t>
        </is>
      </c>
      <c r="I17" s="46" t="n">
        <v>46286</v>
      </c>
      <c r="J17" s="45" t="inlineStr">
        <is>
          <t>Milliseconds of the first spell on screen, sent on leave or app background. A qualified view is at least 3,000 ms.</t>
        </is>
      </c>
      <c r="K17" s="45" t="inlineStr">
        <is>
          <t>Positive, and not identical across items in one request.</t>
        </is>
      </c>
      <c r="L17" s="45" t="inlineStr">
        <is>
          <t>How long it stayed on screen. A weak signal on its own, useful in combination</t>
        </is>
      </c>
      <c r="M17" s="45" t="inlineStr">
        <is>
          <t>F13, X-04</t>
        </is>
      </c>
      <c r="N17" s="45" t="inlineStr">
        <is>
          <t>28 Sep 2026: On view rows, dwell_ms is the longest first-spell watch (never lowered) or the time on the post page; it replaces view_duration_seconds. Capped at 600,000 ms.</t>
        </is>
      </c>
    </row>
    <row r="18" ht="38.25" customHeight="1" s="25">
      <c r="A18" s="44" t="inlineStr">
        <is>
          <t>F14</t>
        </is>
      </c>
      <c r="B18" s="45" t="inlineStr">
        <is>
          <t>recommendation_impression</t>
        </is>
      </c>
      <c r="C18" s="45" t="inlineStr">
        <is>
          <t>is_exploration</t>
        </is>
      </c>
      <c r="D18" s="45" t="inlineStr">
        <is>
          <t>boolean  ·  false</t>
        </is>
      </c>
      <c r="E18" s="45" t="inlineStr">
        <is>
          <t>Blocking</t>
        </is>
      </c>
      <c r="F18" s="45" t="inlineStr">
        <is>
          <t>R5</t>
        </is>
      </c>
      <c r="G18" s="45" t="inlineStr">
        <is>
          <t>Aravinth</t>
        </is>
      </c>
      <c r="H18" s="45" t="inlineStr">
        <is>
          <t>Built</t>
        </is>
      </c>
      <c r="I18" s="46" t="n">
        <v>46286</v>
      </c>
      <c r="J18" s="45" t="inlineStr">
        <is>
          <t>Copied from the service response onto every impression from that list. Never computed on the device.</t>
        </is>
      </c>
      <c r="K18" s="45" t="inlineStr">
        <is>
          <t>Share of true rows matches the agreed percentage within about one point.</t>
        </is>
      </c>
      <c r="L18" s="45" t="inlineStr">
        <is>
          <t>Marks the small randomised slice of traffic</t>
        </is>
      </c>
      <c r="M18" s="45" t="inlineStr">
        <is>
          <t>F14</t>
        </is>
      </c>
      <c r="N18" s="45" t="n"/>
    </row>
    <row r="19" ht="25.5" customHeight="1" s="25">
      <c r="A19" s="44" t="inlineStr">
        <is>
          <t>F15</t>
        </is>
      </c>
      <c r="B19" s="45" t="inlineStr">
        <is>
          <t>recommendation_impression</t>
        </is>
      </c>
      <c r="C19" s="45" t="inlineStr">
        <is>
          <t>client_ts</t>
        </is>
      </c>
      <c r="D19" s="45" t="inlineStr">
        <is>
          <t>datetime  ·  2026-11-04T14:45:22+05:30</t>
        </is>
      </c>
      <c r="E19" s="45" t="inlineStr">
        <is>
          <t>Important</t>
        </is>
      </c>
      <c r="F19" s="45" t="inlineStr">
        <is>
          <t>R7</t>
        </is>
      </c>
      <c r="G19" s="45" t="inlineStr">
        <is>
          <t>Aravinth</t>
        </is>
      </c>
      <c r="H19" s="45" t="inlineStr">
        <is>
          <t>Built</t>
        </is>
      </c>
      <c r="I19" s="46" t="n">
        <v>46286</v>
      </c>
      <c r="J19" s="45" t="inlineStr">
        <is>
          <t>Device time with timezone offset, taken when the item is first seen. Stored exactly as sent.</t>
        </is>
      </c>
      <c r="K19" s="45" t="inlineStr">
        <is>
          <t>Carries a timezone offset and differs from server_ts. Never overwritten by server time.</t>
        </is>
      </c>
      <c r="L19" s="45" t="inlineStr">
        <is>
          <t>Device time with offset, kept separate from server time</t>
        </is>
      </c>
      <c r="M19" s="45" t="inlineStr">
        <is>
          <t>F15</t>
        </is>
      </c>
      <c r="N19" s="45" t="n"/>
    </row>
    <row r="20" ht="25.5" customHeight="1" s="25">
      <c r="A20" s="44" t="inlineStr">
        <is>
          <t>F16</t>
        </is>
      </c>
      <c r="B20" s="45" t="inlineStr">
        <is>
          <t>recommendation_click</t>
        </is>
      </c>
      <c r="C20" s="45" t="inlineStr">
        <is>
          <t>request_id</t>
        </is>
      </c>
      <c r="D20" s="45" t="inlineStr">
        <is>
          <t>string  ·  3f1c9a2e-7b4d-4e21-9c8a-5d6e7f8a9b0c</t>
        </is>
      </c>
      <c r="E20" s="45" t="inlineStr">
        <is>
          <t>Blocking</t>
        </is>
      </c>
      <c r="F20" s="45" t="inlineStr">
        <is>
          <t>R1</t>
        </is>
      </c>
      <c r="G20" s="45" t="inlineStr">
        <is>
          <t>Aravinth</t>
        </is>
      </c>
      <c r="H20" s="45" t="inlineStr">
        <is>
          <t>Built</t>
        </is>
      </c>
      <c r="I20" s="46" t="n">
        <v>46286</v>
      </c>
      <c r="J20" s="45" t="inlineStr">
        <is>
          <t>The same stored request_id as the impression for that item.</t>
        </is>
      </c>
      <c r="K20" s="45" t="inlineStr">
        <is>
          <t>Sample a hundred child events and join back to the request. Zero orphans, and no nulls.</t>
        </is>
      </c>
      <c r="L20" s="45" t="inlineStr">
        <is>
          <t>Links the click to what else was on screen</t>
        </is>
      </c>
      <c r="M20" s="45" t="inlineStr">
        <is>
          <t>F16, X-07</t>
        </is>
      </c>
      <c r="N20" s="45" t="n"/>
    </row>
    <row r="21" ht="15" customHeight="1" s="25">
      <c r="A21" s="44" t="inlineStr">
        <is>
          <t>F17</t>
        </is>
      </c>
      <c r="B21" s="45" t="inlineStr">
        <is>
          <t>recommendation_click</t>
        </is>
      </c>
      <c r="C21" s="45" t="inlineStr">
        <is>
          <t>item_id</t>
        </is>
      </c>
      <c r="D21" s="45" t="inlineStr">
        <is>
          <t>string  ·  6a3fe5cfcce0b0785136e7fe</t>
        </is>
      </c>
      <c r="E21" s="45" t="inlineStr">
        <is>
          <t>Blocking</t>
        </is>
      </c>
      <c r="F21" s="45" t="inlineStr">
        <is>
          <t>R4</t>
        </is>
      </c>
      <c r="G21" s="45" t="inlineStr">
        <is>
          <t>Aravinth</t>
        </is>
      </c>
      <c r="H21" s="45" t="inlineStr">
        <is>
          <t>Built</t>
        </is>
      </c>
      <c r="I21" s="46" t="n">
        <v>46286</v>
      </c>
      <c r="J21" s="45" t="inlineStr">
        <is>
          <t>Sent from the card-level tap handler (E3).</t>
        </is>
      </c>
      <c r="K21" s="45" t="inlineStr">
        <is>
          <t>Resolves to a post or product document.</t>
        </is>
      </c>
      <c r="L21" s="45" t="inlineStr">
        <is>
          <t>What was chosen</t>
        </is>
      </c>
      <c r="M21" s="45" t="inlineStr">
        <is>
          <t>F17</t>
        </is>
      </c>
      <c r="N21" s="45" t="n"/>
    </row>
    <row r="22" ht="38.25" customHeight="1" s="25">
      <c r="A22" s="44" t="inlineStr">
        <is>
          <t>F18</t>
        </is>
      </c>
      <c r="B22" s="45" t="inlineStr">
        <is>
          <t>recommendation_click</t>
        </is>
      </c>
      <c r="C22" s="45" t="inlineStr">
        <is>
          <t>position</t>
        </is>
      </c>
      <c r="D22" s="45" t="inlineStr">
        <is>
          <t>integer  ·  4</t>
        </is>
      </c>
      <c r="E22" s="45" t="inlineStr">
        <is>
          <t>Blocking</t>
        </is>
      </c>
      <c r="F22" s="45" t="inlineStr">
        <is>
          <t>R2</t>
        </is>
      </c>
      <c r="G22" s="45" t="inlineStr">
        <is>
          <t>Aravinth</t>
        </is>
      </c>
      <c r="H22" s="45" t="inlineStr">
        <is>
          <t>Built</t>
        </is>
      </c>
      <c r="I22" s="46" t="n">
        <v>46286</v>
      </c>
      <c r="J22" s="45" t="inlineStr">
        <is>
          <t>The same displayed position as F11.</t>
        </is>
      </c>
      <c r="K22" s="45" t="inlineStr">
        <is>
          <t>Integers from 1 upward within a single request, with no gaps in the positions served. Clicked positions need not be consecutive, and click rate need not fall at every position.</t>
        </is>
      </c>
      <c r="L22" s="45" t="inlineStr">
        <is>
          <t>Position of the clicked item</t>
        </is>
      </c>
      <c r="M22" s="45" t="inlineStr">
        <is>
          <t>F18, X-06</t>
        </is>
      </c>
      <c r="N22" s="45" t="n"/>
    </row>
    <row r="23" ht="25.5" customHeight="1" s="25">
      <c r="A23" s="44" t="inlineStr">
        <is>
          <t>F19</t>
        </is>
      </c>
      <c r="B23" s="45" t="inlineStr">
        <is>
          <t>recommendation_click</t>
        </is>
      </c>
      <c r="C23" s="45" t="inlineStr">
        <is>
          <t>server_ts</t>
        </is>
      </c>
      <c r="D23" s="45" t="inlineStr">
        <is>
          <t>datetime  ·  2026-11-04T09:15:31.002Z</t>
        </is>
      </c>
      <c r="E23" s="45" t="inlineStr">
        <is>
          <t>Blocking</t>
        </is>
      </c>
      <c r="F23" s="45" t="inlineStr">
        <is>
          <t>R7</t>
        </is>
      </c>
      <c r="G23" s="45" t="inlineStr">
        <is>
          <t>Aravinth</t>
        </is>
      </c>
      <c r="H23" s="45" t="inlineStr">
        <is>
          <t>Built</t>
        </is>
      </c>
      <c r="I23" s="46" t="n">
        <v>46286</v>
      </c>
      <c r="J23" s="45" t="inlineStr">
        <is>
          <t>Stamped by SOCO_BE in UTC with milliseconds when it receives the click.</t>
        </is>
      </c>
      <c r="K23" s="45" t="inlineStr">
        <is>
          <t>UTC, ISO 8601, millisecond precision, and not equal to the time the event was ingested.</t>
        </is>
      </c>
      <c r="L23" s="45" t="inlineStr">
        <is>
          <t>When the click happened</t>
        </is>
      </c>
      <c r="M23" s="45" t="inlineStr">
        <is>
          <t>F19</t>
        </is>
      </c>
      <c r="N23" s="45" t="n"/>
    </row>
    <row r="24" ht="51" customHeight="1" s="25">
      <c r="A24" s="44" t="inlineStr">
        <is>
          <t>F20</t>
        </is>
      </c>
      <c r="B24" s="45" t="inlineStr">
        <is>
          <t>add_to_cart</t>
        </is>
      </c>
      <c r="C24" s="45" t="inlineStr">
        <is>
          <t>request_id</t>
        </is>
      </c>
      <c r="D24" s="45" t="inlineStr">
        <is>
          <t>string  ·  3f1c9a2e-7b4d-4e21-9c8a-5d6e7f8a9b0c</t>
        </is>
      </c>
      <c r="E24" s="45" t="inlineStr">
        <is>
          <t>Important</t>
        </is>
      </c>
      <c r="F24" s="45" t="inlineStr">
        <is>
          <t>R4</t>
        </is>
      </c>
      <c r="G24" s="45" t="inlineStr">
        <is>
          <t>Aravinth</t>
        </is>
      </c>
      <c r="H24" s="45" t="inlineStr">
        <is>
          <t>Verify</t>
        </is>
      </c>
      <c r="I24" s="46" t="n"/>
      <c r="J24" s="45" t="inlineStr">
        <is>
          <t>The list that first put the item in the cart, kept in carts.ml.request_id (with position, surface, item_type, is_exploration, at). Quantity changes, removal and an order without context carry it; a re-add from another list is credited to that list. Null if the item was not reached from a list.</t>
        </is>
      </c>
      <c r="K24" s="45" t="inlineStr">
        <is>
          <t>Sample a hundred events from recommended lists and join back to the request: zero orphans. Null only where the action was not reached from a list.</t>
        </is>
      </c>
      <c r="L24" s="45" t="inlineStr">
        <is>
          <t>Links the intent back to what prompted it</t>
        </is>
      </c>
      <c r="M24" s="45" t="inlineStr">
        <is>
          <t>F20, X-07</t>
        </is>
      </c>
      <c r="N24" s="45" t="inlineStr">
        <is>
          <t>28 Sep 2026: Reported built (answers Q4). X-07.</t>
        </is>
      </c>
    </row>
    <row r="25" ht="15" customHeight="1" s="25">
      <c r="A25" s="44" t="inlineStr">
        <is>
          <t>F21</t>
        </is>
      </c>
      <c r="B25" s="45" t="inlineStr">
        <is>
          <t>add_to_cart</t>
        </is>
      </c>
      <c r="C25" s="45" t="inlineStr">
        <is>
          <t>product_id</t>
        </is>
      </c>
      <c r="D25" s="45" t="inlineStr">
        <is>
          <t>string  ·  6a3fe5cfcce0b0785136e7fe</t>
        </is>
      </c>
      <c r="E25" s="45" t="inlineStr">
        <is>
          <t>Important</t>
        </is>
      </c>
      <c r="F25" s="45" t="inlineStr">
        <is>
          <t>R4</t>
        </is>
      </c>
      <c r="G25" s="45" t="inlineStr">
        <is>
          <t>Aravinth</t>
        </is>
      </c>
      <c r="H25" s="45" t="inlineStr">
        <is>
          <t>Closed</t>
        </is>
      </c>
      <c r="I25" s="45" t="n"/>
      <c r="J25" s="45" t="inlineStr">
        <is>
          <t>No change. Already captured.</t>
        </is>
      </c>
      <c r="K25" s="45" t="inlineStr">
        <is>
          <t>Resolves to a product document.</t>
        </is>
      </c>
      <c r="L25" s="45" t="inlineStr">
        <is>
          <t>Which product</t>
        </is>
      </c>
      <c r="M25" s="45" t="inlineStr">
        <is>
          <t>F21</t>
        </is>
      </c>
      <c r="N25" s="45" t="n"/>
    </row>
    <row r="26" ht="25.5" customHeight="1" s="25">
      <c r="A26" s="44" t="inlineStr">
        <is>
          <t>F22</t>
        </is>
      </c>
      <c r="B26" s="45" t="inlineStr">
        <is>
          <t>add_to_cart</t>
        </is>
      </c>
      <c r="C26" s="45" t="inlineStr">
        <is>
          <t>quantity</t>
        </is>
      </c>
      <c r="D26" s="45" t="inlineStr">
        <is>
          <t>integer  ·  2</t>
        </is>
      </c>
      <c r="E26" s="45" t="inlineStr">
        <is>
          <t>Useful</t>
        </is>
      </c>
      <c r="F26" s="45" t="inlineStr">
        <is>
          <t>R4</t>
        </is>
      </c>
      <c r="G26" s="45" t="inlineStr">
        <is>
          <t>Aravinth</t>
        </is>
      </c>
      <c r="H26" s="45" t="inlineStr">
        <is>
          <t>Verify</t>
        </is>
      </c>
      <c r="I26" s="46" t="n"/>
      <c r="J26" s="45" t="inlineStr">
        <is>
          <t>Units in this action: added on add_to_cart, removed on remove_from_cart.</t>
        </is>
      </c>
      <c r="K26" s="45" t="inlineStr">
        <is>
          <t>Positive integer.</t>
        </is>
      </c>
      <c r="L26" s="45" t="inlineStr">
        <is>
          <t>Strength of intent</t>
        </is>
      </c>
      <c r="M26" s="45" t="inlineStr">
        <is>
          <t>F22</t>
        </is>
      </c>
      <c r="N26" s="45" t="inlineStr">
        <is>
          <t>28 Sep 2026: Reported built.</t>
        </is>
      </c>
    </row>
    <row r="27" ht="38.25" customHeight="1" s="25">
      <c r="A27" s="44" t="inlineStr">
        <is>
          <t>F23</t>
        </is>
      </c>
      <c r="B27" s="45" t="inlineStr">
        <is>
          <t>order_placed</t>
        </is>
      </c>
      <c r="C27" s="45" t="inlineStr">
        <is>
          <t>order_id</t>
        </is>
      </c>
      <c r="D27" s="45" t="inlineStr">
        <is>
          <t>string  ·  6a48cb8237a8061b26eb067d</t>
        </is>
      </c>
      <c r="E27" s="45" t="inlineStr">
        <is>
          <t>Blocking</t>
        </is>
      </c>
      <c r="F27" s="45" t="inlineStr">
        <is>
          <t>R4</t>
        </is>
      </c>
      <c r="G27" s="45" t="inlineStr">
        <is>
          <t>Aravinth</t>
        </is>
      </c>
      <c r="H27" s="45" t="inlineStr">
        <is>
          <t>Closed</t>
        </is>
      </c>
      <c r="I27" s="45" t="n"/>
      <c r="J27" s="45" t="inlineStr">
        <is>
          <t>No change. Already captured.</t>
        </is>
      </c>
      <c r="K27" s="45" t="inlineStr">
        <is>
          <t>Resolves to an order document, and reconciles one to one with orders created in the same window.</t>
        </is>
      </c>
      <c r="L27" s="45" t="inlineStr">
        <is>
          <t>Order identifier</t>
        </is>
      </c>
      <c r="M27" s="45" t="inlineStr">
        <is>
          <t>F23</t>
        </is>
      </c>
      <c r="N27" s="45" t="n"/>
    </row>
    <row r="28" ht="51" customHeight="1" s="25">
      <c r="A28" s="44" t="inlineStr">
        <is>
          <t>F24</t>
        </is>
      </c>
      <c r="B28" s="45" t="inlineStr">
        <is>
          <t>order_placed</t>
        </is>
      </c>
      <c r="C28" s="45" t="inlineStr">
        <is>
          <t>request_id</t>
        </is>
      </c>
      <c r="D28" s="45" t="inlineStr">
        <is>
          <t>string  ·  3f1c9a2e-7b4d-4e21-9c8a-5d6e7f8a9b0c</t>
        </is>
      </c>
      <c r="E28" s="45" t="inlineStr">
        <is>
          <t>Blocking</t>
        </is>
      </c>
      <c r="F28" s="45" t="inlineStr">
        <is>
          <t>R4</t>
        </is>
      </c>
      <c r="G28" s="45" t="inlineStr">
        <is>
          <t>Aravinth</t>
        </is>
      </c>
      <c r="H28" s="45" t="inlineStr">
        <is>
          <t>Built</t>
        </is>
      </c>
      <c r="I28" s="46" t="n">
        <v>46286</v>
      </c>
      <c r="J28" s="45" t="inlineStr">
        <is>
          <t>Copied from the cart line, or from product detail on a direct buy, onto the order and the event. Null when not from a list.</t>
        </is>
      </c>
      <c r="K28" s="45" t="inlineStr">
        <is>
          <t>Sample a hundred events from recommended lists and join back to the request: zero orphans. Null only where the action was not reached from a list.</t>
        </is>
      </c>
      <c r="L28" s="45" t="inlineStr">
        <is>
          <t>Which recommendation led to the order. The single most valuable link in the register</t>
        </is>
      </c>
      <c r="M28" s="45" t="inlineStr">
        <is>
          <t>F24, X-07</t>
        </is>
      </c>
      <c r="N28" s="45" t="inlineStr">
        <is>
          <t>orders.request_id exists. The chain through the cart depends on F20.</t>
        </is>
      </c>
    </row>
    <row r="29" ht="38.25" customHeight="1" s="25">
      <c r="A29" s="44" t="inlineStr">
        <is>
          <t>F25</t>
        </is>
      </c>
      <c r="B29" s="45" t="inlineStr">
        <is>
          <t>order_placed</t>
        </is>
      </c>
      <c r="C29" s="45" t="inlineStr">
        <is>
          <t>line_items</t>
        </is>
      </c>
      <c r="D29" s="45" t="inlineStr">
        <is>
          <t>array  ·  [{product_id, variant_id, qty, price, base_price}]</t>
        </is>
      </c>
      <c r="E29" s="45" t="inlineStr">
        <is>
          <t>Blocking</t>
        </is>
      </c>
      <c r="F29" s="45" t="inlineStr">
        <is>
          <t>R4</t>
        </is>
      </c>
      <c r="G29" s="45" t="inlineStr">
        <is>
          <t>Aravinth</t>
        </is>
      </c>
      <c r="H29" s="45" t="inlineStr">
        <is>
          <t>Closed</t>
        </is>
      </c>
      <c r="I29" s="45" t="n"/>
      <c r="J29" s="45" t="inlineStr">
        <is>
          <t>One entry per order, because each order holds one product: product_id, variant_id, qty, price, base_price. orders.variant_id holds the same variant at the top level. Baskets are recovered with checkout_id.</t>
        </is>
      </c>
      <c r="K29" s="45" t="inlineStr">
        <is>
          <t>One entry on every order, matching the order's product.</t>
        </is>
      </c>
      <c r="L29" s="45" t="inlineStr">
        <is>
          <t>The product, variant, quantity and price on the order</t>
        </is>
      </c>
      <c r="M29" s="45" t="inlineStr">
        <is>
          <t>F25</t>
        </is>
      </c>
      <c r="N29" s="45" t="inlineStr">
        <is>
          <t>28 Sep 2026: variant_id reported fixed (answers Q11). The order wins over the event for the variant bought.</t>
        </is>
      </c>
    </row>
    <row r="30" ht="25.5" customHeight="1" s="25">
      <c r="A30" s="44" t="inlineStr">
        <is>
          <t>F26</t>
        </is>
      </c>
      <c r="B30" s="45" t="inlineStr">
        <is>
          <t>order_placed</t>
        </is>
      </c>
      <c r="C30" s="45" t="inlineStr">
        <is>
          <t>promoter_id</t>
        </is>
      </c>
      <c r="D30" s="45" t="inlineStr">
        <is>
          <t>string  ·  6a3a6df8bac0b9eb430edc7c (text, user or store)</t>
        </is>
      </c>
      <c r="E30" s="45" t="inlineStr">
        <is>
          <t>Blocking</t>
        </is>
      </c>
      <c r="F30" s="45" t="inlineStr">
        <is>
          <t>R4</t>
        </is>
      </c>
      <c r="G30" s="45" t="inlineStr">
        <is>
          <t>Aravinth</t>
        </is>
      </c>
      <c r="H30" s="45" t="inlineStr">
        <is>
          <t>Built</t>
        </is>
      </c>
      <c r="I30" s="46" t="n">
        <v>46286</v>
      </c>
      <c r="J30" s="45" t="inlineStr">
        <is>
          <t>The author of the order's post_id (posts.userId), set at order write and stored as text. It can be a user or a store. Null when post_id is null. Orders created before 23 September 2026 have none: the engine takes the post's author instead (build list ENG-30). No separate promo field.</t>
        </is>
      </c>
      <c r="K30" s="45" t="inlineStr">
        <is>
          <t>Populated on orders with a post_id created from 23 September 2026, and empty on direct orders.</t>
        </is>
      </c>
      <c r="L30" s="45" t="inlineStr">
        <is>
          <t>Which promoter, if the order came through a post</t>
        </is>
      </c>
      <c r="M30" s="45" t="inlineStr">
        <is>
          <t>F26</t>
        </is>
      </c>
      <c r="N30" s="45" t="inlineStr">
        <is>
          <t>14 Oct 2026: Confirmed by the App Team (answers of 13 Oct, Q1). No backfill: older rows are test data.</t>
        </is>
      </c>
    </row>
    <row r="31" ht="25.5" customHeight="1" s="25">
      <c r="A31" s="44" t="inlineStr">
        <is>
          <t>F27</t>
        </is>
      </c>
      <c r="B31" s="45" t="inlineStr">
        <is>
          <t>order_placed</t>
        </is>
      </c>
      <c r="C31" s="45" t="inlineStr">
        <is>
          <t>order_value</t>
        </is>
      </c>
      <c r="D31" s="45" t="inlineStr">
        <is>
          <t>decimal  ·  2499.00</t>
        </is>
      </c>
      <c r="E31" s="45" t="inlineStr">
        <is>
          <t>Blocking</t>
        </is>
      </c>
      <c r="F31" s="45" t="inlineStr">
        <is>
          <t>R4</t>
        </is>
      </c>
      <c r="G31" s="45" t="inlineStr">
        <is>
          <t>Aravinth</t>
        </is>
      </c>
      <c r="H31" s="45" t="inlineStr">
        <is>
          <t>Built</t>
        </is>
      </c>
      <c r="I31" s="46" t="n">
        <v>46286</v>
      </c>
      <c r="J31" s="45" t="inlineStr">
        <is>
          <t>The order's final amount after discount, read from orders.total_price and sent as order_value.</t>
        </is>
      </c>
      <c r="K31" s="45" t="inlineStr">
        <is>
          <t>Matches the order total on the operational record.</t>
        </is>
      </c>
      <c r="L31" s="45" t="inlineStr">
        <is>
          <t>Value, for ranking by revenue rather than click count</t>
        </is>
      </c>
      <c r="M31" s="45" t="inlineStr">
        <is>
          <t>F27</t>
        </is>
      </c>
      <c r="N31" s="45" t="inlineStr">
        <is>
          <t>The field is total_price, not totalAmount.</t>
        </is>
      </c>
    </row>
    <row r="32" ht="25.5" customHeight="1" s="25">
      <c r="A32" s="44" t="inlineStr">
        <is>
          <t>F28</t>
        </is>
      </c>
      <c r="B32" s="45" t="inlineStr">
        <is>
          <t>order_placed</t>
        </is>
      </c>
      <c r="C32" s="45" t="inlineStr">
        <is>
          <t>server_ts</t>
        </is>
      </c>
      <c r="D32" s="45" t="inlineStr">
        <is>
          <t>datetime  ·  2026-11-04T09:22:10.500Z</t>
        </is>
      </c>
      <c r="E32" s="45" t="inlineStr">
        <is>
          <t>Blocking</t>
        </is>
      </c>
      <c r="F32" s="45" t="inlineStr">
        <is>
          <t>R7</t>
        </is>
      </c>
      <c r="G32" s="45" t="inlineStr">
        <is>
          <t>Aravinth</t>
        </is>
      </c>
      <c r="H32" s="45" t="inlineStr">
        <is>
          <t>Built</t>
        </is>
      </c>
      <c r="I32" s="46" t="n">
        <v>46286</v>
      </c>
      <c r="J32" s="45" t="inlineStr">
        <is>
          <t>The order's creation time (orders.created_at), UTC with milliseconds.</t>
        </is>
      </c>
      <c r="K32" s="45" t="inlineStr">
        <is>
          <t>UTC, ISO 8601, millisecond precision, and not equal to the time the event was ingested.</t>
        </is>
      </c>
      <c r="L32" s="45" t="inlineStr">
        <is>
          <t>When the order was placed</t>
        </is>
      </c>
      <c r="M32" s="45" t="inlineStr">
        <is>
          <t>F28</t>
        </is>
      </c>
      <c r="N32" s="45" t="n"/>
    </row>
    <row r="33" ht="38.25" customHeight="1" s="25">
      <c r="A33" s="44" t="inlineStr">
        <is>
          <t>F29</t>
        </is>
      </c>
      <c r="B33" s="45" t="inlineStr">
        <is>
          <t>order_state_changed</t>
        </is>
      </c>
      <c r="C33" s="45" t="inlineStr">
        <is>
          <t>order_id</t>
        </is>
      </c>
      <c r="D33" s="45" t="inlineStr">
        <is>
          <t>string  ·  6a48cb8237a8061b26eb067d</t>
        </is>
      </c>
      <c r="E33" s="45" t="inlineStr">
        <is>
          <t>Blocking</t>
        </is>
      </c>
      <c r="F33" s="45" t="inlineStr">
        <is>
          <t>R4</t>
        </is>
      </c>
      <c r="G33" s="45" t="inlineStr">
        <is>
          <t>Aravinth</t>
        </is>
      </c>
      <c r="H33" s="45" t="inlineStr">
        <is>
          <t>Closed</t>
        </is>
      </c>
      <c r="I33" s="45" t="n"/>
      <c r="J33" s="45" t="inlineStr">
        <is>
          <t>No change. Already captured.</t>
        </is>
      </c>
      <c r="K33" s="45" t="inlineStr">
        <is>
          <t>Resolves to an order document, and reconciles one to one with orders created in the same window.</t>
        </is>
      </c>
      <c r="L33" s="45" t="inlineStr">
        <is>
          <t>Which order changed</t>
        </is>
      </c>
      <c r="M33" s="45" t="inlineStr">
        <is>
          <t>F29</t>
        </is>
      </c>
      <c r="N33" s="45" t="n"/>
    </row>
    <row r="34" ht="38.25" customHeight="1" s="25">
      <c r="A34" s="44" t="inlineStr">
        <is>
          <t>F30</t>
        </is>
      </c>
      <c r="B34" s="45" t="inlineStr">
        <is>
          <t>order_state_changed</t>
        </is>
      </c>
      <c r="C34" s="45" t="inlineStr">
        <is>
          <t>history event (tracking_info entry status, free text)</t>
        </is>
      </c>
      <c r="D34" s="45" t="inlineStr">
        <is>
          <t>string  ·  Delivered (Urban Vogue Fashion Studio)</t>
        </is>
      </c>
      <c r="E34" s="45" t="inlineStr">
        <is>
          <t>Blocking</t>
        </is>
      </c>
      <c r="F34" s="45" t="inlineStr">
        <is>
          <t>R4</t>
        </is>
      </c>
      <c r="G34" s="45" t="inlineStr">
        <is>
          <t>Aravinth</t>
        </is>
      </c>
      <c r="H34" s="45" t="inlineStr">
        <is>
          <t>Verify</t>
        </is>
      </c>
      <c r="I34" s="46" t="n"/>
      <c r="J34" s="45" t="inlineStr">
        <is>
          <t>The free-text status written with each history entry. It is a history event, not the order's state: some entries change order_status and some do not (payment, return request, refund). The engine maps each entry to a history event (Created, Accepted, Confirmed, Shipped, Payment, Delivered, Cancelled, Return request, Refund, Returned) with its history-text map (build list ENG-30 point 5); the app does not write a code. The order's state is order_status alone: Pending, Accepted, Processing, Shipped, Payed Off, Out for Delivery, Delivered, Cancelled, Rejected, Confirmed or Returned. There is no Return Requested status.</t>
        </is>
      </c>
      <c r="K34" s="45" t="inlineStr">
        <is>
          <t>Every order_status change has an entry, and every entry text maps to a history event.</t>
        </is>
      </c>
      <c r="L34" s="45" t="inlineStr">
        <is>
          <t>The order's history, and the time it was first Delivered.</t>
        </is>
      </c>
      <c r="M34" s="45" t="inlineStr">
        <is>
          <t>F30, X-13, X-23</t>
        </is>
      </c>
      <c r="N34" s="45" t="inlineStr">
        <is>
          <t>14 Oct 2026: Texts seen on the platform database: Order created by &lt;name&gt;, Order Accepted By Seller, Confirmed by buyer, Shipped by seller, Payment Completed, Delivered (&lt;store&gt;), Cancelled by seller, Return requested (&lt;RET no.&gt;), Refund of &lt;amount&gt; paid (&lt;RET no.&gt;), Returned to seller.
29 Sep 2026: Build list APP-08.</t>
        </is>
      </c>
    </row>
    <row r="35" ht="89.25" customHeight="1" s="25">
      <c r="A35" s="44" t="inlineStr">
        <is>
          <t>F31</t>
        </is>
      </c>
      <c r="B35" s="45" t="inlineStr">
        <is>
          <t>order_state_changed</t>
        </is>
      </c>
      <c r="C35" s="45" t="inlineStr">
        <is>
          <t>reason_code</t>
        </is>
      </c>
      <c r="D35" s="45" t="inlineStr">
        <is>
          <t>enum  ·  changed_mind</t>
        </is>
      </c>
      <c r="E35" s="45" t="inlineStr">
        <is>
          <t>Important</t>
        </is>
      </c>
      <c r="F35" s="45" t="inlineStr">
        <is>
          <t>R4</t>
        </is>
      </c>
      <c r="G35" s="45" t="inlineStr">
        <is>
          <t>Aravinth</t>
        </is>
      </c>
      <c r="H35" s="45" t="inlineStr">
        <is>
          <t>Closed</t>
        </is>
      </c>
      <c r="I35" s="46" t="n"/>
      <c r="J35" s="45" t="inlineStr">
        <is>
          <t>Not required in Wave 1A: no scoring rule uses cancel reasons. Whatever exists (reason_code or the free-text reasons) is stored for investigation.</t>
        </is>
      </c>
      <c r="K35" s="45" t="inlineStr">
        <is>
          <t>Present on every Cancelled or Rejected change, null otherwise, and only values from the list.</t>
        </is>
      </c>
      <c r="L35" s="45" t="inlineStr">
        <is>
          <t>Why. Separates a product problem from a delivery problem</t>
        </is>
      </c>
      <c r="M35" s="45" t="inlineStr">
        <is>
          <t>F31</t>
        </is>
      </c>
      <c r="N35" s="45" t="inlineStr">
        <is>
          <t>29 Sep 2026: Build list DB-04 and APP-11 not needed.</t>
        </is>
      </c>
    </row>
    <row r="36" ht="25.5" customHeight="1" s="25">
      <c r="A36" s="44" t="inlineStr">
        <is>
          <t>F32</t>
        </is>
      </c>
      <c r="B36" s="45" t="inlineStr">
        <is>
          <t>order_state_changed</t>
        </is>
      </c>
      <c r="C36" s="45" t="inlineStr">
        <is>
          <t>timestamp (tracking_info entry)</t>
        </is>
      </c>
      <c r="D36" s="45" t="inlineStr">
        <is>
          <t>datetime  ·  2026-11-09T11:02:00Z</t>
        </is>
      </c>
      <c r="E36" s="45" t="inlineStr">
        <is>
          <t>Blocking</t>
        </is>
      </c>
      <c r="F36" s="45" t="inlineStr">
        <is>
          <t>R7</t>
        </is>
      </c>
      <c r="G36" s="45" t="inlineStr">
        <is>
          <t>Aravinth</t>
        </is>
      </c>
      <c r="H36" s="45" t="inlineStr">
        <is>
          <t>Verify</t>
        </is>
      </c>
      <c r="I36" s="46" t="n"/>
      <c r="J36" s="45" t="inlineStr">
        <is>
          <t>tracking_info[].timestamp, written with the status change. Exists today.</t>
        </is>
      </c>
      <c r="K36" s="45" t="inlineStr">
        <is>
          <t>Ordered correctly against the creation time, and reflects when the change happened.</t>
        </is>
      </c>
      <c r="L36" s="45" t="inlineStr">
        <is>
          <t>When the state changed, not when the record was written</t>
        </is>
      </c>
      <c r="M36" s="45" t="inlineStr">
        <is>
          <t>F32</t>
        </is>
      </c>
      <c r="N36" s="45" t="inlineStr">
        <is>
          <t>14 Oct 2026: Confirmed on the platform database.
29 Sep 2026: Build list APP-08.</t>
        </is>
      </c>
    </row>
    <row r="37" ht="38.25" customHeight="1" s="25">
      <c r="A37" s="44" t="inlineStr">
        <is>
          <t>F33</t>
        </is>
      </c>
      <c r="B37" s="45" t="inlineStr">
        <is>
          <t>payment_state_changed</t>
        </is>
      </c>
      <c r="C37" s="45" t="inlineStr">
        <is>
          <t>order_id</t>
        </is>
      </c>
      <c r="D37" s="45" t="inlineStr">
        <is>
          <t>string  ·  6a48cb8237a8061b26eb067d</t>
        </is>
      </c>
      <c r="E37" s="45" t="inlineStr">
        <is>
          <t>Important</t>
        </is>
      </c>
      <c r="F37" s="45" t="inlineStr">
        <is>
          <t>R4</t>
        </is>
      </c>
      <c r="G37" s="45" t="inlineStr">
        <is>
          <t>Aravinth</t>
        </is>
      </c>
      <c r="H37" s="45" t="inlineStr">
        <is>
          <t>Deferred</t>
        </is>
      </c>
      <c r="I37" s="45" t="n"/>
      <c r="J37" s="45" t="inlineStr">
        <is>
          <t>Deferred with E7.</t>
        </is>
      </c>
      <c r="K37" s="45" t="inlineStr">
        <is>
          <t>Resolves to an order document, and reconciles one to one with orders created in the same window.</t>
        </is>
      </c>
      <c r="L37" s="45" t="inlineStr">
        <is>
          <t>Which order</t>
        </is>
      </c>
      <c r="M37" s="45" t="inlineStr">
        <is>
          <t>F33</t>
        </is>
      </c>
      <c r="N37" s="45" t="n"/>
    </row>
    <row r="38" ht="38.25" customHeight="1" s="25">
      <c r="A38" s="44" t="inlineStr">
        <is>
          <t>F34</t>
        </is>
      </c>
      <c r="B38" s="45" t="inlineStr">
        <is>
          <t>payment_state_changed</t>
        </is>
      </c>
      <c r="C38" s="45" t="inlineStr">
        <is>
          <t>new_state</t>
        </is>
      </c>
      <c r="D38" s="45" t="inlineStr">
        <is>
          <t>enum  ·  settled</t>
        </is>
      </c>
      <c r="E38" s="45" t="inlineStr">
        <is>
          <t>Important</t>
        </is>
      </c>
      <c r="F38" s="45" t="inlineStr">
        <is>
          <t>R4</t>
        </is>
      </c>
      <c r="G38" s="45" t="inlineStr">
        <is>
          <t>Aravinth</t>
        </is>
      </c>
      <c r="H38" s="45" t="inlineStr">
        <is>
          <t>Deferred</t>
        </is>
      </c>
      <c r="I38" s="45" t="n"/>
      <c r="J38" s="45" t="inlineStr">
        <is>
          <t>Deferred with E7.</t>
        </is>
      </c>
      <c r="K38" s="45" t="inlineStr">
        <is>
          <t>Every terminal state appears at least once. Reconcile counts by state against the orders collection.</t>
        </is>
      </c>
      <c r="L38" s="45" t="inlineStr">
        <is>
          <t>Settled, failed or charged back</t>
        </is>
      </c>
      <c r="M38" s="45" t="inlineStr">
        <is>
          <t>F34</t>
        </is>
      </c>
      <c r="N38" s="45" t="n"/>
    </row>
    <row r="39" ht="25.5" customHeight="1" s="25">
      <c r="A39" s="44" t="inlineStr">
        <is>
          <t>F35</t>
        </is>
      </c>
      <c r="B39" s="45" t="inlineStr">
        <is>
          <t>payment_state_changed</t>
        </is>
      </c>
      <c r="C39" s="45" t="inlineStr">
        <is>
          <t>state_ts</t>
        </is>
      </c>
      <c r="D39" s="45" t="inlineStr">
        <is>
          <t>datetime  ·  2026-11-04T09:23:40Z</t>
        </is>
      </c>
      <c r="E39" s="45" t="inlineStr">
        <is>
          <t>Important</t>
        </is>
      </c>
      <c r="F39" s="45" t="inlineStr">
        <is>
          <t>R7</t>
        </is>
      </c>
      <c r="G39" s="45" t="inlineStr">
        <is>
          <t>Aravinth</t>
        </is>
      </c>
      <c r="H39" s="45" t="inlineStr">
        <is>
          <t>Deferred</t>
        </is>
      </c>
      <c r="I39" s="45" t="n"/>
      <c r="J39" s="45" t="inlineStr">
        <is>
          <t>Deferred with E7. When built, use Razorpay's own event time.</t>
        </is>
      </c>
      <c r="K39" s="45" t="inlineStr">
        <is>
          <t>Ordered correctly against the creation time, and reflects when the change happened.</t>
        </is>
      </c>
      <c r="L39" s="45" t="inlineStr">
        <is>
          <t>When</t>
        </is>
      </c>
      <c r="M39" s="45" t="inlineStr">
        <is>
          <t>F35</t>
        </is>
      </c>
      <c r="N39" s="45" t="n"/>
    </row>
    <row r="40" ht="25.5" customHeight="1" s="25">
      <c r="A40" s="44" t="inlineStr">
        <is>
          <t>F36</t>
        </is>
      </c>
      <c r="B40" s="45" t="inlineStr">
        <is>
          <t>commission_state_changed</t>
        </is>
      </c>
      <c r="C40" s="45" t="inlineStr">
        <is>
          <t>commission id</t>
        </is>
      </c>
      <c r="D40" s="45" t="inlineStr">
        <is>
          <t>ObjectId  ·  commissiontransactions._id (transactionRef CMS-…)</t>
        </is>
      </c>
      <c r="E40" s="45" t="inlineStr">
        <is>
          <t>Blocking</t>
        </is>
      </c>
      <c r="F40" s="45" t="inlineStr">
        <is>
          <t>R4</t>
        </is>
      </c>
      <c r="G40" s="45" t="inlineStr">
        <is>
          <t>Aravinth</t>
        </is>
      </c>
      <c r="H40" s="45" t="inlineStr">
        <is>
          <t>Deferred</t>
        </is>
      </c>
      <c r="I40" s="45" t="n"/>
      <c r="J40" s="45" t="inlineStr">
        <is>
          <t>Deferred with E8. Source: commissiontransactions. commissiontransactions._id; transactionRef is the readable reference.</t>
        </is>
      </c>
      <c r="K40" s="45" t="inlineStr">
        <is>
          <t>Resolves to a commission record.</t>
        </is>
      </c>
      <c r="L40" s="45" t="inlineStr">
        <is>
          <t>Commission record identifier</t>
        </is>
      </c>
      <c r="M40" s="45" t="inlineStr">
        <is>
          <t>F36</t>
        </is>
      </c>
      <c r="N40" s="45" t="inlineStr">
        <is>
          <t>14 Oct 2026: Remapped to commissiontransactions (ML Reference section 8.7); influencerearnings is not used.</t>
        </is>
      </c>
    </row>
    <row r="41" ht="25.5" customHeight="1" s="25">
      <c r="A41" s="44" t="inlineStr">
        <is>
          <t>F37</t>
        </is>
      </c>
      <c r="B41" s="45" t="inlineStr">
        <is>
          <t>commission_state_changed</t>
        </is>
      </c>
      <c r="C41" s="45" t="inlineStr">
        <is>
          <t>beneficiaryId, beneficiaryModel</t>
        </is>
      </c>
      <c r="D41" s="45" t="inlineStr">
        <is>
          <t>ObjectId + enum  ·  user | businessRegister</t>
        </is>
      </c>
      <c r="E41" s="45" t="inlineStr">
        <is>
          <t>Blocking</t>
        </is>
      </c>
      <c r="F41" s="45" t="inlineStr">
        <is>
          <t>R4</t>
        </is>
      </c>
      <c r="G41" s="45" t="inlineStr">
        <is>
          <t>Aravinth</t>
        </is>
      </c>
      <c r="H41" s="45" t="inlineStr">
        <is>
          <t>Deferred</t>
        </is>
      </c>
      <c r="I41" s="45" t="n"/>
      <c r="J41" s="45" t="inlineStr">
        <is>
          <t>Deferred with E8. Source: commissiontransactions. The promoter who earns, and which collection the id belongs to (a store can earn too).</t>
        </is>
      </c>
      <c r="K41" s="45" t="inlineStr">
        <is>
          <t>Populated on every commission record, with its model.</t>
        </is>
      </c>
      <c r="L41" s="45" t="inlineStr">
        <is>
          <t>Which promoter earned it</t>
        </is>
      </c>
      <c r="M41" s="45" t="inlineStr">
        <is>
          <t>F37</t>
        </is>
      </c>
      <c r="N41" s="45" t="inlineStr">
        <is>
          <t>14 Oct 2026: Remapped to commissiontransactions (ML Reference section 8.7); influencerearnings is not used.</t>
        </is>
      </c>
    </row>
    <row r="42" ht="38.25" customHeight="1" s="25">
      <c r="A42" s="44" t="inlineStr">
        <is>
          <t>F38</t>
        </is>
      </c>
      <c r="B42" s="45" t="inlineStr">
        <is>
          <t>commission_state_changed</t>
        </is>
      </c>
      <c r="C42" s="45" t="inlineStr">
        <is>
          <t>orderId</t>
        </is>
      </c>
      <c r="D42" s="45" t="inlineStr">
        <is>
          <t>ObjectId</t>
        </is>
      </c>
      <c r="E42" s="45" t="inlineStr">
        <is>
          <t>Blocking</t>
        </is>
      </c>
      <c r="F42" s="45" t="inlineStr">
        <is>
          <t>R4</t>
        </is>
      </c>
      <c r="G42" s="45" t="inlineStr">
        <is>
          <t>Aravinth</t>
        </is>
      </c>
      <c r="H42" s="45" t="inlineStr">
        <is>
          <t>Deferred</t>
        </is>
      </c>
      <c r="I42" s="45" t="n"/>
      <c r="J42" s="45" t="inlineStr">
        <is>
          <t>Deferred with E8. Source: commissiontransactions. The order it came from.</t>
        </is>
      </c>
      <c r="K42" s="45" t="inlineStr">
        <is>
          <t>Resolves to an order document.</t>
        </is>
      </c>
      <c r="L42" s="45" t="inlineStr">
        <is>
          <t>Which order it came from</t>
        </is>
      </c>
      <c r="M42" s="45" t="inlineStr">
        <is>
          <t>F38</t>
        </is>
      </c>
      <c r="N42" s="45" t="inlineStr">
        <is>
          <t>14 Oct 2026: Remapped to commissiontransactions (ML Reference section 8.7); influencerearnings is not used.</t>
        </is>
      </c>
    </row>
    <row r="43" ht="38.25" customHeight="1" s="25">
      <c r="A43" s="44" t="inlineStr">
        <is>
          <t>F39</t>
        </is>
      </c>
      <c r="B43" s="45" t="inlineStr">
        <is>
          <t>commission_state_changed</t>
        </is>
      </c>
      <c r="C43" s="45" t="inlineStr">
        <is>
          <t>status, statusHistory</t>
        </is>
      </c>
      <c r="D43" s="45" t="inlineStr">
        <is>
          <t>enum  ·  pending | approved | paid | reversed | rejected</t>
        </is>
      </c>
      <c r="E43" s="45" t="inlineStr">
        <is>
          <t>Blocking</t>
        </is>
      </c>
      <c r="F43" s="45" t="inlineStr">
        <is>
          <t>R4</t>
        </is>
      </c>
      <c r="G43" s="45" t="inlineStr">
        <is>
          <t>Aravinth</t>
        </is>
      </c>
      <c r="H43" s="45" t="inlineStr">
        <is>
          <t>Deferred</t>
        </is>
      </c>
      <c r="I43" s="45" t="n"/>
      <c r="J43" s="45" t="inlineStr">
        <is>
          <t>Deferred with E8. Source: commissiontransactions. The commission status and its history. Rejected is final.</t>
        </is>
      </c>
      <c r="K43" s="45" t="inlineStr">
        <is>
          <t>Every terminal state appears at least once. Reconcile counts by state against commissiontransactions.</t>
        </is>
      </c>
      <c r="L43" s="45" t="inlineStr">
        <is>
          <t>Attributed, confirmed or reversed</t>
        </is>
      </c>
      <c r="M43" s="45" t="inlineStr">
        <is>
          <t>F39</t>
        </is>
      </c>
      <c r="N43" s="45" t="inlineStr">
        <is>
          <t>14 Oct 2026: Remapped to commissiontransactions (ML Reference section 8.7); influencerearnings is not used.</t>
        </is>
      </c>
    </row>
    <row r="44" ht="25.5" customHeight="1" s="25">
      <c r="A44" s="44" t="inlineStr">
        <is>
          <t>F40</t>
        </is>
      </c>
      <c r="B44" s="45" t="inlineStr">
        <is>
          <t>commission_state_changed</t>
        </is>
      </c>
      <c r="C44" s="45" t="inlineStr">
        <is>
          <t>amount</t>
        </is>
      </c>
      <c r="D44" s="45" t="inlineStr">
        <is>
          <t>decimal  ·  249.90</t>
        </is>
      </c>
      <c r="E44" s="45" t="inlineStr">
        <is>
          <t>Blocking</t>
        </is>
      </c>
      <c r="F44" s="45" t="inlineStr">
        <is>
          <t>R4</t>
        </is>
      </c>
      <c r="G44" s="45" t="inlineStr">
        <is>
          <t>Aravinth</t>
        </is>
      </c>
      <c r="H44" s="45" t="inlineStr">
        <is>
          <t>Deferred</t>
        </is>
      </c>
      <c r="I44" s="45" t="n"/>
      <c r="J44" s="45" t="inlineStr">
        <is>
          <t>Deferred with E8. Source: commissiontransactions. This promoter's share, in rupees with 2 decimals.</t>
        </is>
      </c>
      <c r="K44" s="45" t="inlineStr">
        <is>
          <t>Matches the commission on the operational record.</t>
        </is>
      </c>
      <c r="L44" s="45" t="inlineStr">
        <is>
          <t>Value earned</t>
        </is>
      </c>
      <c r="M44" s="45" t="inlineStr">
        <is>
          <t>F40</t>
        </is>
      </c>
      <c r="N44" s="45" t="inlineStr">
        <is>
          <t>14 Oct 2026: Remapped to commissiontransactions (ML Reference section 8.7); influencerearnings is not used.</t>
        </is>
      </c>
    </row>
    <row r="45" ht="25.5" customHeight="1" s="25">
      <c r="A45" s="44" t="inlineStr">
        <is>
          <t>F41</t>
        </is>
      </c>
      <c r="B45" s="45" t="inlineStr">
        <is>
          <t>commission_state_changed</t>
        </is>
      </c>
      <c r="C45" s="45" t="inlineStr">
        <is>
          <t>approvedAt, paidAt, reversedAt</t>
        </is>
      </c>
      <c r="D45" s="45" t="inlineStr">
        <is>
          <t>datetime</t>
        </is>
      </c>
      <c r="E45" s="45" t="inlineStr">
        <is>
          <t>Blocking</t>
        </is>
      </c>
      <c r="F45" s="45" t="inlineStr">
        <is>
          <t>R7</t>
        </is>
      </c>
      <c r="G45" s="45" t="inlineStr">
        <is>
          <t>Aravinth</t>
        </is>
      </c>
      <c r="H45" s="45" t="inlineStr">
        <is>
          <t>Deferred</t>
        </is>
      </c>
      <c r="I45" s="45" t="n"/>
      <c r="J45" s="45" t="inlineStr">
        <is>
          <t>Deferred with E8. Source: commissiontransactions. The time of each transition, plus the statusHistory times.</t>
        </is>
      </c>
      <c r="K45" s="45" t="inlineStr">
        <is>
          <t>Ordered correctly against the creation time.</t>
        </is>
      </c>
      <c r="L45" s="45" t="inlineStr">
        <is>
          <t>When</t>
        </is>
      </c>
      <c r="M45" s="45" t="inlineStr">
        <is>
          <t>F41</t>
        </is>
      </c>
      <c r="N45" s="45" t="inlineStr">
        <is>
          <t>14 Oct 2026: Remapped to commissiontransactions (ML Reference section 8.7); influencerearnings is not used.</t>
        </is>
      </c>
    </row>
    <row r="46" ht="25.5" customHeight="1" s="25">
      <c r="A46" s="44" t="inlineStr">
        <is>
          <t>F42</t>
        </is>
      </c>
      <c r="B46" s="45" t="inlineStr">
        <is>
          <t>social_interaction</t>
        </is>
      </c>
      <c r="C46" s="45" t="inlineStr">
        <is>
          <t>user_id</t>
        </is>
      </c>
      <c r="D46" s="45" t="inlineStr">
        <is>
          <t>string  ·  65f1a2b3c4d5e6f708192a3b</t>
        </is>
      </c>
      <c r="E46" s="45" t="inlineStr">
        <is>
          <t>Important</t>
        </is>
      </c>
      <c r="F46" s="45" t="inlineStr">
        <is>
          <t>R4</t>
        </is>
      </c>
      <c r="G46" s="45" t="inlineStr">
        <is>
          <t>Aravinth</t>
        </is>
      </c>
      <c r="H46" s="45" t="inlineStr">
        <is>
          <t>Built</t>
        </is>
      </c>
      <c r="I46" s="46" t="n">
        <v>46286</v>
      </c>
      <c r="J46" s="45" t="inlineStr">
        <is>
          <t>The person acting, on every action: the follower on follow, the reposter on repost.</t>
        </is>
      </c>
      <c r="K46" s="45" t="inlineStr">
        <is>
          <t>Populated on every event from a logged in session, and resolves to a user document.</t>
        </is>
      </c>
      <c r="L46" s="45" t="inlineStr">
        <is>
          <t>Who acted</t>
        </is>
      </c>
      <c r="M46" s="45" t="inlineStr">
        <is>
          <t>F42</t>
        </is>
      </c>
      <c r="N46" s="45" t="n"/>
    </row>
    <row r="47" ht="38.25" customHeight="1" s="25">
      <c r="A47" s="44" t="inlineStr">
        <is>
          <t>F43</t>
        </is>
      </c>
      <c r="B47" s="45" t="inlineStr">
        <is>
          <t>social_interaction</t>
        </is>
      </c>
      <c r="C47" s="45" t="inlineStr">
        <is>
          <t>target_id</t>
        </is>
      </c>
      <c r="D47" s="45" t="inlineStr">
        <is>
          <t>string  ·  6a3a9c671eb704e99a97c6d3</t>
        </is>
      </c>
      <c r="E47" s="45" t="inlineStr">
        <is>
          <t>Important</t>
        </is>
      </c>
      <c r="F47" s="45" t="inlineStr">
        <is>
          <t>R4</t>
        </is>
      </c>
      <c r="G47" s="45" t="inlineStr">
        <is>
          <t>Aravinth</t>
        </is>
      </c>
      <c r="H47" s="45" t="inlineStr">
        <is>
          <t>Built</t>
        </is>
      </c>
      <c r="I47" s="46" t="n">
        <v>46286</v>
      </c>
      <c r="J47" s="45" t="inlineStr">
        <is>
          <t>The post for like, save, share and repost (the original post on a repost); the followed account for follow. A separate item_model field says which kind of target it is.</t>
        </is>
      </c>
      <c r="K47" s="45" t="inlineStr">
        <is>
          <t>Resolves to the item or account acted on, matching item_model.</t>
        </is>
      </c>
      <c r="L47" s="45" t="inlineStr">
        <is>
          <t>What they acted on</t>
        </is>
      </c>
      <c r="M47" s="45" t="inlineStr">
        <is>
          <t>F43</t>
        </is>
      </c>
      <c r="N47" s="45" t="n"/>
    </row>
    <row r="48" ht="25.5" customHeight="1" s="25">
      <c r="A48" s="44" t="inlineStr">
        <is>
          <t>F44</t>
        </is>
      </c>
      <c r="B48" s="45" t="inlineStr">
        <is>
          <t>social_interaction</t>
        </is>
      </c>
      <c r="C48" s="45" t="inlineStr">
        <is>
          <t>action</t>
        </is>
      </c>
      <c r="D48" s="45" t="inlineStr">
        <is>
          <t>enum  ·  save</t>
        </is>
      </c>
      <c r="E48" s="45" t="inlineStr">
        <is>
          <t>Important</t>
        </is>
      </c>
      <c r="F48" s="45" t="inlineStr">
        <is>
          <t>R4</t>
        </is>
      </c>
      <c r="G48" s="45" t="inlineStr">
        <is>
          <t>Aravinth</t>
        </is>
      </c>
      <c r="H48" s="45" t="inlineStr">
        <is>
          <t>Built</t>
        </is>
      </c>
      <c r="I48" s="46" t="n">
        <v>46286</v>
      </c>
      <c r="J48" s="45" t="inlineStr">
        <is>
          <t>One of like, unlike, save, unsave, share, repost, follow, unfollow.</t>
        </is>
      </c>
      <c r="K48" s="45" t="inlineStr">
        <is>
          <t>All eight actions appear across a sample.</t>
        </is>
      </c>
      <c r="L48" s="45" t="inlineStr">
        <is>
          <t>What they did. An undo is its own event</t>
        </is>
      </c>
      <c r="M48" s="45" t="inlineStr">
        <is>
          <t>F44</t>
        </is>
      </c>
      <c r="N48" s="45" t="n"/>
    </row>
    <row r="49" ht="51" customHeight="1" s="25">
      <c r="A49" s="44" t="inlineStr">
        <is>
          <t>F45</t>
        </is>
      </c>
      <c r="B49" s="45" t="inlineStr">
        <is>
          <t>social_interaction</t>
        </is>
      </c>
      <c r="C49" s="45" t="inlineStr">
        <is>
          <t>request_id</t>
        </is>
      </c>
      <c r="D49" s="45" t="inlineStr">
        <is>
          <t>string  ·  3f1c9a2e-7b4d-4e21-9c8a-5d6e7f8a9b0c</t>
        </is>
      </c>
      <c r="E49" s="45" t="inlineStr">
        <is>
          <t>Important</t>
        </is>
      </c>
      <c r="F49" s="45" t="inlineStr">
        <is>
          <t>R1</t>
        </is>
      </c>
      <c r="G49" s="45" t="inlineStr">
        <is>
          <t>Aravinth</t>
        </is>
      </c>
      <c r="H49" s="45" t="inlineStr">
        <is>
          <t>Built</t>
        </is>
      </c>
      <c r="I49" s="46" t="n">
        <v>46286</v>
      </c>
      <c r="J49" s="45" t="inlineStr">
        <is>
          <t>Set when the action happened on a card in a recommended list, otherwise null.</t>
        </is>
      </c>
      <c r="K49" s="45" t="inlineStr">
        <is>
          <t>Sample a hundred events from recommended lists and join back to the request: zero orphans. Null only where the action was not reached from a list.</t>
        </is>
      </c>
      <c r="L49" s="45" t="inlineStr">
        <is>
          <t>Where they saw it, if it came from a recommended list</t>
        </is>
      </c>
      <c r="M49" s="45" t="inlineStr">
        <is>
          <t>F45, X-07</t>
        </is>
      </c>
      <c r="N49" s="45" t="n"/>
    </row>
    <row r="50" ht="25.5" customHeight="1" s="25">
      <c r="A50" s="44" t="inlineStr">
        <is>
          <t>F46</t>
        </is>
      </c>
      <c r="B50" s="45" t="inlineStr">
        <is>
          <t>social_interaction</t>
        </is>
      </c>
      <c r="C50" s="45" t="inlineStr">
        <is>
          <t>server_ts</t>
        </is>
      </c>
      <c r="D50" s="45" t="inlineStr">
        <is>
          <t>datetime  ·  2026-11-04T09:16:05Z</t>
        </is>
      </c>
      <c r="E50" s="45" t="inlineStr">
        <is>
          <t>Important</t>
        </is>
      </c>
      <c r="F50" s="45" t="inlineStr">
        <is>
          <t>R7</t>
        </is>
      </c>
      <c r="G50" s="45" t="inlineStr">
        <is>
          <t>Aravinth</t>
        </is>
      </c>
      <c r="H50" s="45" t="inlineStr">
        <is>
          <t>Built</t>
        </is>
      </c>
      <c r="I50" s="46" t="n">
        <v>46286</v>
      </c>
      <c r="J50" s="45" t="inlineStr">
        <is>
          <t>UTC with milliseconds at the write. For follow, the follow document's createdAt.</t>
        </is>
      </c>
      <c r="K50" s="45" t="inlineStr">
        <is>
          <t>UTC, ISO 8601, millisecond precision, and not equal to the time the event was ingested.</t>
        </is>
      </c>
      <c r="L50" s="45" t="inlineStr">
        <is>
          <t>When</t>
        </is>
      </c>
      <c r="M50" s="45" t="inlineStr">
        <is>
          <t>F46</t>
        </is>
      </c>
      <c r="N50" s="45" t="n"/>
    </row>
    <row r="51" ht="25.5" customHeight="1" s="25">
      <c r="A51" s="44" t="inlineStr">
        <is>
          <t>F47</t>
        </is>
      </c>
      <c r="B51" s="45" t="inlineStr">
        <is>
          <t>opportunity_state_changed</t>
        </is>
      </c>
      <c r="C51" s="45" t="inlineStr">
        <is>
          <t>collaborationId</t>
        </is>
      </c>
      <c r="D51" s="45" t="inlineStr">
        <is>
          <t>ObjectId</t>
        </is>
      </c>
      <c r="E51" s="45" t="inlineStr">
        <is>
          <t>Blocking</t>
        </is>
      </c>
      <c r="F51" s="45" t="inlineStr">
        <is>
          <t>R4</t>
        </is>
      </c>
      <c r="G51" s="45" t="inlineStr">
        <is>
          <t>Aravinth</t>
        </is>
      </c>
      <c r="H51" s="45" t="inlineStr">
        <is>
          <t>Deferred</t>
        </is>
      </c>
      <c r="I51" s="45" t="n"/>
      <c r="J51" s="45" t="inlineStr">
        <is>
          <t>Deferred with E10. Source: collaborationevents. The collaboration (collaborationevents.collaborationId).</t>
        </is>
      </c>
      <c r="K51" s="45" t="inlineStr">
        <is>
          <t>Resolves to a collaborations record.</t>
        </is>
      </c>
      <c r="L51" s="45" t="inlineStr">
        <is>
          <t>Which opportunity</t>
        </is>
      </c>
      <c r="M51" s="45" t="inlineStr">
        <is>
          <t>F47</t>
        </is>
      </c>
      <c r="N51" s="45" t="inlineStr">
        <is>
          <t>14 Oct 2026: Remapped to collaborationevents (ML Reference section 7.6).</t>
        </is>
      </c>
    </row>
    <row r="52" ht="25.5" customHeight="1" s="25">
      <c r="A52" s="44" t="inlineStr">
        <is>
          <t>F48</t>
        </is>
      </c>
      <c r="B52" s="45" t="inlineStr">
        <is>
          <t>opportunity_state_changed</t>
        </is>
      </c>
      <c r="C52" s="45" t="inlineStr">
        <is>
          <t>creatorId</t>
        </is>
      </c>
      <c r="D52" s="45" t="inlineStr">
        <is>
          <t>ObjectId</t>
        </is>
      </c>
      <c r="E52" s="45" t="inlineStr">
        <is>
          <t>Blocking</t>
        </is>
      </c>
      <c r="F52" s="45" t="inlineStr">
        <is>
          <t>R4</t>
        </is>
      </c>
      <c r="G52" s="45" t="inlineStr">
        <is>
          <t>Aravinth</t>
        </is>
      </c>
      <c r="H52" s="45" t="inlineStr">
        <is>
          <t>Deferred</t>
        </is>
      </c>
      <c r="I52" s="45" t="n"/>
      <c r="J52" s="45" t="inlineStr">
        <is>
          <t>Deferred with E10. Source: collaborationevents. The creator, from collaborations.creatorId.</t>
        </is>
      </c>
      <c r="K52" s="45" t="inlineStr">
        <is>
          <t>Populated on every collaboration event.</t>
        </is>
      </c>
      <c r="L52" s="45" t="inlineStr">
        <is>
          <t>Which promoter</t>
        </is>
      </c>
      <c r="M52" s="45" t="inlineStr">
        <is>
          <t>F48</t>
        </is>
      </c>
      <c r="N52" s="45" t="inlineStr">
        <is>
          <t>14 Oct 2026: Remapped to collaborationevents (ML Reference section 7.6).</t>
        </is>
      </c>
    </row>
    <row r="53" ht="25.5" customHeight="1" s="25">
      <c r="A53" s="44" t="inlineStr">
        <is>
          <t>F49</t>
        </is>
      </c>
      <c r="B53" s="45" t="inlineStr">
        <is>
          <t>opportunity_state_changed</t>
        </is>
      </c>
      <c r="C53" s="45" t="inlineStr">
        <is>
          <t>campaign_id</t>
        </is>
      </c>
      <c r="D53" s="45" t="inlineStr">
        <is>
          <t>string  ·  (deferred)</t>
        </is>
      </c>
      <c r="E53" s="45" t="inlineStr">
        <is>
          <t>Blocking</t>
        </is>
      </c>
      <c r="F53" s="45" t="inlineStr">
        <is>
          <t>R6</t>
        </is>
      </c>
      <c r="G53" s="45" t="inlineStr">
        <is>
          <t>Aravinth</t>
        </is>
      </c>
      <c r="H53" s="45" t="inlineStr">
        <is>
          <t>Deferred</t>
        </is>
      </c>
      <c r="I53" s="45" t="n"/>
      <c r="J53" s="45" t="inlineStr">
        <is>
          <t>Deferred with E10 and D4. Not applicable: a collaboration is one store with one creator, and no campaign entity exists.</t>
        </is>
      </c>
      <c r="K53" s="45" t="inlineStr">
        <is>
          <t>Blank until a campaign entity exists.</t>
        </is>
      </c>
      <c r="L53" s="45" t="inlineStr">
        <is>
          <t>Which campaign it belongs to</t>
        </is>
      </c>
      <c r="M53" s="45" t="inlineStr">
        <is>
          <t>F49</t>
        </is>
      </c>
      <c r="N53" s="45" t="n"/>
    </row>
    <row r="54" ht="38.25" customHeight="1" s="25">
      <c r="A54" s="44" t="inlineStr">
        <is>
          <t>F50</t>
        </is>
      </c>
      <c r="B54" s="45" t="inlineStr">
        <is>
          <t>opportunity_state_changed</t>
        </is>
      </c>
      <c r="C54" s="45" t="inlineStr">
        <is>
          <t>type, fromStatus, toStatus</t>
        </is>
      </c>
      <c r="D54" s="45" t="inlineStr">
        <is>
          <t>enum  ·  accepted</t>
        </is>
      </c>
      <c r="E54" s="45" t="inlineStr">
        <is>
          <t>Blocking</t>
        </is>
      </c>
      <c r="F54" s="45" t="inlineStr">
        <is>
          <t>R4</t>
        </is>
      </c>
      <c r="G54" s="45" t="inlineStr">
        <is>
          <t>Aravinth</t>
        </is>
      </c>
      <c r="H54" s="45" t="inlineStr">
        <is>
          <t>Deferred</t>
        </is>
      </c>
      <c r="I54" s="45" t="n"/>
      <c r="J54" s="45" t="inlineStr">
        <is>
          <t>Deferred with E10. Source: collaborationevents. The event type and the status it moved from and to.</t>
        </is>
      </c>
      <c r="K54" s="45" t="inlineStr">
        <is>
          <t>Every terminal state appears at least once. Reconcile against collaborations.status.</t>
        </is>
      </c>
      <c r="L54" s="45" t="inlineStr">
        <is>
          <t>Accepted, completed, withdrawn or expired</t>
        </is>
      </c>
      <c r="M54" s="45" t="inlineStr">
        <is>
          <t>F50</t>
        </is>
      </c>
      <c r="N54" s="45" t="inlineStr">
        <is>
          <t>14 Oct 2026: Remapped to collaborationevents (ML Reference section 7.6).</t>
        </is>
      </c>
    </row>
    <row r="55" ht="25.5" customHeight="1" s="25">
      <c r="A55" s="44" t="inlineStr">
        <is>
          <t>F51</t>
        </is>
      </c>
      <c r="B55" s="45" t="inlineStr">
        <is>
          <t>opportunity_state_changed</t>
        </is>
      </c>
      <c r="C55" s="45" t="inlineStr">
        <is>
          <t>at</t>
        </is>
      </c>
      <c r="D55" s="45" t="inlineStr">
        <is>
          <t>datetime</t>
        </is>
      </c>
      <c r="E55" s="45" t="inlineStr">
        <is>
          <t>Blocking</t>
        </is>
      </c>
      <c r="F55" s="45" t="inlineStr">
        <is>
          <t>R7</t>
        </is>
      </c>
      <c r="G55" s="45" t="inlineStr">
        <is>
          <t>Aravinth</t>
        </is>
      </c>
      <c r="H55" s="45" t="inlineStr">
        <is>
          <t>Deferred</t>
        </is>
      </c>
      <c r="I55" s="45" t="n"/>
      <c r="J55" s="45" t="inlineStr">
        <is>
          <t>Deferred with E10. Source: collaborationevents. collaborationevents.at.</t>
        </is>
      </c>
      <c r="K55" s="45" t="inlineStr">
        <is>
          <t>Ordered correctly against the collaboration's creation time.</t>
        </is>
      </c>
      <c r="L55" s="45" t="inlineStr">
        <is>
          <t>When</t>
        </is>
      </c>
      <c r="M55" s="45" t="inlineStr">
        <is>
          <t>F51</t>
        </is>
      </c>
      <c r="N55" s="45" t="inlineStr">
        <is>
          <t>14 Oct 2026: Remapped to collaborationevents (ML Reference section 7.6).</t>
        </is>
      </c>
    </row>
    <row r="56" ht="25.5" customHeight="1" s="25">
      <c r="A56" s="44" t="inlineStr">
        <is>
          <t>F52</t>
        </is>
      </c>
      <c r="B56" s="45" t="inlineStr">
        <is>
          <t>search_performed</t>
        </is>
      </c>
      <c r="C56" s="45" t="inlineStr">
        <is>
          <t>user_id</t>
        </is>
      </c>
      <c r="D56" s="45" t="inlineStr">
        <is>
          <t>string  ·  65f1a2b3c4d5e6f708192a3b</t>
        </is>
      </c>
      <c r="E56" s="45" t="inlineStr">
        <is>
          <t>Useful</t>
        </is>
      </c>
      <c r="F56" s="45" t="inlineStr">
        <is>
          <t>R4</t>
        </is>
      </c>
      <c r="G56" s="45" t="inlineStr">
        <is>
          <t>Aravinth</t>
        </is>
      </c>
      <c r="H56" s="45" t="inlineStr">
        <is>
          <t>Deferred</t>
        </is>
      </c>
      <c r="I56" s="45" t="n"/>
      <c r="J56" s="45" t="inlineStr">
        <is>
          <t>Deferred with E11.</t>
        </is>
      </c>
      <c r="K56" s="45" t="inlineStr">
        <is>
          <t>Populated on every event from a logged in session, and resolves to a user document.</t>
        </is>
      </c>
      <c r="L56" s="45" t="inlineStr">
        <is>
          <t>Who searched</t>
        </is>
      </c>
      <c r="M56" s="45" t="inlineStr">
        <is>
          <t>F52</t>
        </is>
      </c>
      <c r="N56" s="45" t="n"/>
    </row>
    <row r="57" ht="15" customHeight="1" s="25">
      <c r="A57" s="44" t="inlineStr">
        <is>
          <t>F53</t>
        </is>
      </c>
      <c r="B57" s="45" t="inlineStr">
        <is>
          <t>search_performed</t>
        </is>
      </c>
      <c r="C57" s="45" t="inlineStr">
        <is>
          <t>query_text</t>
        </is>
      </c>
      <c r="D57" s="45" t="inlineStr">
        <is>
          <t>string  ·  cotton kurta</t>
        </is>
      </c>
      <c r="E57" s="45" t="inlineStr">
        <is>
          <t>Useful</t>
        </is>
      </c>
      <c r="F57" s="45" t="inlineStr">
        <is>
          <t>R4</t>
        </is>
      </c>
      <c r="G57" s="45" t="inlineStr">
        <is>
          <t>Aravinth</t>
        </is>
      </c>
      <c r="H57" s="45" t="inlineStr">
        <is>
          <t>Deferred</t>
        </is>
      </c>
      <c r="I57" s="45" t="n"/>
      <c r="J57" s="45" t="inlineStr">
        <is>
          <t>Deferred with E11.</t>
        </is>
      </c>
      <c r="K57" s="45" t="inlineStr">
        <is>
          <t>Present and not truncated.</t>
        </is>
      </c>
      <c r="L57" s="45" t="inlineStr">
        <is>
          <t>What they typed</t>
        </is>
      </c>
      <c r="M57" s="45" t="inlineStr">
        <is>
          <t>F53</t>
        </is>
      </c>
      <c r="N57" s="45" t="n"/>
    </row>
    <row r="58" ht="25.5" customHeight="1" s="25">
      <c r="A58" s="44" t="inlineStr">
        <is>
          <t>F54</t>
        </is>
      </c>
      <c r="B58" s="45" t="inlineStr">
        <is>
          <t>search_performed</t>
        </is>
      </c>
      <c r="C58" s="45" t="inlineStr">
        <is>
          <t>result_count</t>
        </is>
      </c>
      <c r="D58" s="45" t="inlineStr">
        <is>
          <t>integer  ·  23</t>
        </is>
      </c>
      <c r="E58" s="45" t="inlineStr">
        <is>
          <t>Useful</t>
        </is>
      </c>
      <c r="F58" s="45" t="inlineStr">
        <is>
          <t>R4</t>
        </is>
      </c>
      <c r="G58" s="45" t="inlineStr">
        <is>
          <t>Aravinth</t>
        </is>
      </c>
      <c r="H58" s="45" t="inlineStr">
        <is>
          <t>Deferred</t>
        </is>
      </c>
      <c r="I58" s="45" t="n"/>
      <c r="J58" s="45" t="inlineStr">
        <is>
          <t>Deferred with E11.</t>
        </is>
      </c>
      <c r="K58" s="45" t="inlineStr">
        <is>
          <t>Matches the number of results returned.</t>
        </is>
      </c>
      <c r="L58" s="45" t="inlineStr">
        <is>
          <t>Zero-result searches show unmet demand</t>
        </is>
      </c>
      <c r="M58" s="45" t="inlineStr">
        <is>
          <t>F54</t>
        </is>
      </c>
      <c r="N58" s="45" t="n"/>
    </row>
    <row r="59" ht="25.5" customHeight="1" s="25">
      <c r="A59" s="44" t="inlineStr">
        <is>
          <t>F55</t>
        </is>
      </c>
      <c r="B59" s="45" t="inlineStr">
        <is>
          <t>search_performed</t>
        </is>
      </c>
      <c r="C59" s="45" t="inlineStr">
        <is>
          <t>server_ts</t>
        </is>
      </c>
      <c r="D59" s="45" t="inlineStr">
        <is>
          <t>datetime  ·  2026-11-04T09:10:00Z</t>
        </is>
      </c>
      <c r="E59" s="45" t="inlineStr">
        <is>
          <t>Useful</t>
        </is>
      </c>
      <c r="F59" s="45" t="inlineStr">
        <is>
          <t>R7</t>
        </is>
      </c>
      <c r="G59" s="45" t="inlineStr">
        <is>
          <t>Aravinth</t>
        </is>
      </c>
      <c r="H59" s="45" t="inlineStr">
        <is>
          <t>Deferred</t>
        </is>
      </c>
      <c r="I59" s="45" t="n"/>
      <c r="J59" s="45" t="inlineStr">
        <is>
          <t>Deferred with E11.</t>
        </is>
      </c>
      <c r="K59" s="45" t="inlineStr">
        <is>
          <t>UTC, ISO 8601, millisecond precision, and not equal to the time the event was ingested.</t>
        </is>
      </c>
      <c r="L59" s="45" t="inlineStr">
        <is>
          <t>When</t>
        </is>
      </c>
      <c r="M59" s="45" t="inlineStr">
        <is>
          <t>F55</t>
        </is>
      </c>
      <c r="N59" s="45" t="n"/>
    </row>
    <row r="60" ht="25.5" customHeight="1" s="25">
      <c r="A60" s="44" t="inlineStr">
        <is>
          <t>F56</t>
        </is>
      </c>
      <c r="B60" s="45" t="inlineStr">
        <is>
          <t>identity_stitched</t>
        </is>
      </c>
      <c r="C60" s="45" t="inlineStr">
        <is>
          <t>anonymous_id</t>
        </is>
      </c>
      <c r="D60" s="45" t="inlineStr">
        <is>
          <t>string  ·  (closed)</t>
        </is>
      </c>
      <c r="E60" s="45" t="inlineStr">
        <is>
          <t>Important</t>
        </is>
      </c>
      <c r="F60" s="45" t="inlineStr">
        <is>
          <t>R6</t>
        </is>
      </c>
      <c r="G60" s="45" t="inlineStr">
        <is>
          <t>Aravinth</t>
        </is>
      </c>
      <c r="H60" s="45" t="inlineStr">
        <is>
          <t>Closed</t>
        </is>
      </c>
      <c r="I60" s="45" t="n"/>
      <c r="J60" s="45" t="inlineStr">
        <is>
          <t>Closed with E12: login is required, so there is nothing to stitch.</t>
        </is>
      </c>
      <c r="K60" s="45" t="inlineStr">
        <is>
          <t>—</t>
        </is>
      </c>
      <c r="L60" s="45" t="inlineStr">
        <is>
          <t>The pre-login identifier</t>
        </is>
      </c>
      <c r="M60" s="45" t="inlineStr">
        <is>
          <t>F56</t>
        </is>
      </c>
      <c r="N60" s="45" t="n"/>
    </row>
    <row r="61" ht="25.5" customHeight="1" s="25">
      <c r="A61" s="44" t="inlineStr">
        <is>
          <t>F57</t>
        </is>
      </c>
      <c r="B61" s="45" t="inlineStr">
        <is>
          <t>identity_stitched</t>
        </is>
      </c>
      <c r="C61" s="45" t="inlineStr">
        <is>
          <t>user_id</t>
        </is>
      </c>
      <c r="D61" s="45" t="inlineStr">
        <is>
          <t>string  ·  65f1a2b3c4d5e6f708192a3b</t>
        </is>
      </c>
      <c r="E61" s="45" t="inlineStr">
        <is>
          <t>Important</t>
        </is>
      </c>
      <c r="F61" s="45" t="inlineStr">
        <is>
          <t>R6</t>
        </is>
      </c>
      <c r="G61" s="45" t="inlineStr">
        <is>
          <t>Aravinth</t>
        </is>
      </c>
      <c r="H61" s="45" t="inlineStr">
        <is>
          <t>Closed</t>
        </is>
      </c>
      <c r="I61" s="45" t="n"/>
      <c r="J61" s="45" t="inlineStr">
        <is>
          <t>Closed with E12: login is required, so there is nothing to stitch.</t>
        </is>
      </c>
      <c r="K61" s="45" t="inlineStr">
        <is>
          <t>—</t>
        </is>
      </c>
      <c r="L61" s="45" t="inlineStr">
        <is>
          <t>The account it was linked to</t>
        </is>
      </c>
      <c r="M61" s="45" t="inlineStr">
        <is>
          <t>F57</t>
        </is>
      </c>
      <c r="N61" s="45" t="n"/>
    </row>
    <row r="62" ht="25.5" customHeight="1" s="25">
      <c r="A62" s="44" t="inlineStr">
        <is>
          <t>F58</t>
        </is>
      </c>
      <c r="B62" s="45" t="inlineStr">
        <is>
          <t>identity_stitched</t>
        </is>
      </c>
      <c r="C62" s="45" t="inlineStr">
        <is>
          <t>stitch_ts</t>
        </is>
      </c>
      <c r="D62" s="45" t="inlineStr">
        <is>
          <t>datetime  ·  2026-11-04T09:14:00Z</t>
        </is>
      </c>
      <c r="E62" s="45" t="inlineStr">
        <is>
          <t>Important</t>
        </is>
      </c>
      <c r="F62" s="45" t="inlineStr">
        <is>
          <t>R6</t>
        </is>
      </c>
      <c r="G62" s="45" t="inlineStr">
        <is>
          <t>Aravinth</t>
        </is>
      </c>
      <c r="H62" s="45" t="inlineStr">
        <is>
          <t>Closed</t>
        </is>
      </c>
      <c r="I62" s="45" t="n"/>
      <c r="J62" s="45" t="inlineStr">
        <is>
          <t>Closed with E12: login is required, so there is nothing to stitch.</t>
        </is>
      </c>
      <c r="K62" s="45" t="inlineStr">
        <is>
          <t>—</t>
        </is>
      </c>
      <c r="L62" s="45" t="inlineStr">
        <is>
          <t>When the link was made</t>
        </is>
      </c>
      <c r="M62" s="45" t="inlineStr">
        <is>
          <t>F58</t>
        </is>
      </c>
      <c r="N62" s="45" t="n"/>
    </row>
    <row r="63" ht="51" customHeight="1" s="25">
      <c r="A63" s="44" t="inlineStr">
        <is>
          <t>F59</t>
        </is>
      </c>
      <c r="B63" s="45" t="inlineStr">
        <is>
          <t>order_placed</t>
        </is>
      </c>
      <c r="C63" s="45" t="inlineStr">
        <is>
          <t>checkout_id</t>
        </is>
      </c>
      <c r="D63" s="45" t="inlineStr">
        <is>
          <t>string  ·  9b2e4c61-3f8a-4d17-a5b2-0c9d8e7f6a51</t>
        </is>
      </c>
      <c r="E63" s="45" t="inlineStr">
        <is>
          <t>Blocking</t>
        </is>
      </c>
      <c r="F63" s="45" t="inlineStr">
        <is>
          <t>R4</t>
        </is>
      </c>
      <c r="G63" s="45" t="inlineStr">
        <is>
          <t>Aravinth</t>
        </is>
      </c>
      <c r="H63" s="45" t="inlineStr">
        <is>
          <t>Verify</t>
        </is>
      </c>
      <c r="I63" s="46" t="n"/>
      <c r="J63" s="45" t="inlineStr">
        <is>
          <t>Generated at checkout before the orders are created, and written on every order from that checkout.</t>
        </is>
      </c>
      <c r="K63" s="45" t="inlineStr">
        <is>
          <t>Place a basket of three products: the three orders share one checkout_id and no other order shares it.</t>
        </is>
      </c>
      <c r="L63" s="45" t="inlineStr">
        <is>
          <t>Links orders placed together. Each product becomes its own order, so without it baskets cannot be recovered</t>
        </is>
      </c>
      <c r="M63" s="45" t="inlineStr">
        <is>
          <t>F59, D3</t>
        </is>
      </c>
      <c r="N63" s="45" t="inlineStr">
        <is>
          <t>28 Sep 2026: Reported built for cart and Buy now (answers Q5): the checkout_start row, every order and every purchase row share it. Basket-of-three check (APP-22) still to run.</t>
        </is>
      </c>
    </row>
    <row r="64" ht="25.5" customHeight="1" s="25">
      <c r="A64" s="44" t="inlineStr">
        <is>
          <t>F60</t>
        </is>
      </c>
      <c r="B64" s="45" t="inlineStr">
        <is>
          <t>content_feedback</t>
        </is>
      </c>
      <c r="C64" s="45" t="inlineStr">
        <is>
          <t>user_id</t>
        </is>
      </c>
      <c r="D64" s="45" t="inlineStr">
        <is>
          <t>string  ·  65f1a2b3c4d5e6f708192a3b</t>
        </is>
      </c>
      <c r="E64" s="45" t="n"/>
      <c r="F64" s="45" t="n"/>
      <c r="G64" s="45" t="inlineStr">
        <is>
          <t>Aravinth</t>
        </is>
      </c>
      <c r="H64" s="45" t="inlineStr">
        <is>
          <t>Built</t>
        </is>
      </c>
      <c r="I64" s="46" t="n">
        <v>46286</v>
      </c>
      <c r="J64" s="45" t="inlineStr">
        <is>
          <t>The person giving the feedback. The event is rejected without it.</t>
        </is>
      </c>
      <c r="K64" s="45" t="inlineStr">
        <is>
          <t>Populated on every event from a logged in session, and resolves to a user document.</t>
        </is>
      </c>
      <c r="L64" s="45" t="inlineStr">
        <is>
          <t>Who gave the feedback</t>
        </is>
      </c>
      <c r="M64" s="45" t="inlineStr">
        <is>
          <t>F60, X-12</t>
        </is>
      </c>
      <c r="N64" s="45" t="n"/>
    </row>
    <row r="65" ht="25.5" customHeight="1" s="25">
      <c r="A65" s="44" t="inlineStr">
        <is>
          <t>F61</t>
        </is>
      </c>
      <c r="B65" s="45" t="inlineStr">
        <is>
          <t>content_feedback</t>
        </is>
      </c>
      <c r="C65" s="45" t="inlineStr">
        <is>
          <t>target_id</t>
        </is>
      </c>
      <c r="D65" s="45" t="inlineStr">
        <is>
          <t>string  ·  6a3a9c671eb704e99a97c6d3</t>
        </is>
      </c>
      <c r="E65" s="45" t="n"/>
      <c r="F65" s="45" t="n"/>
      <c r="G65" s="45" t="inlineStr">
        <is>
          <t>Aravinth</t>
        </is>
      </c>
      <c r="H65" s="45" t="inlineStr">
        <is>
          <t>Built</t>
        </is>
      </c>
      <c r="I65" s="46" t="n">
        <v>46286</v>
      </c>
      <c r="J65" s="45" t="inlineStr">
        <is>
          <t>The post, product or author the feedback is about.</t>
        </is>
      </c>
      <c r="K65" s="45" t="inlineStr">
        <is>
          <t>Resolves to a post, product or user document matching target_type.</t>
        </is>
      </c>
      <c r="L65" s="45" t="inlineStr">
        <is>
          <t>What was rejected</t>
        </is>
      </c>
      <c r="M65" s="45" t="inlineStr">
        <is>
          <t>F61, X-12</t>
        </is>
      </c>
      <c r="N65" s="45" t="n"/>
    </row>
    <row r="66" ht="15" customHeight="1" s="25">
      <c r="A66" s="44" t="inlineStr">
        <is>
          <t>F62</t>
        </is>
      </c>
      <c r="B66" s="45" t="inlineStr">
        <is>
          <t>content_feedback</t>
        </is>
      </c>
      <c r="C66" s="45" t="inlineStr">
        <is>
          <t>target_type</t>
        </is>
      </c>
      <c r="D66" s="45" t="inlineStr">
        <is>
          <t>enum  ·  post</t>
        </is>
      </c>
      <c r="E66" s="45" t="n"/>
      <c r="F66" s="45" t="n"/>
      <c r="G66" s="45" t="inlineStr">
        <is>
          <t>Aravinth</t>
        </is>
      </c>
      <c r="H66" s="45" t="inlineStr">
        <is>
          <t>Built</t>
        </is>
      </c>
      <c r="I66" s="46" t="n">
        <v>46286</v>
      </c>
      <c r="J66" s="45" t="inlineStr">
        <is>
          <t>One of post, product, author.</t>
        </is>
      </c>
      <c r="K66" s="45" t="inlineStr">
        <is>
          <t>Values are only post, product or author.</t>
        </is>
      </c>
      <c r="L66" s="45" t="inlineStr">
        <is>
          <t>What kind of target it is</t>
        </is>
      </c>
      <c r="M66" s="45" t="inlineStr">
        <is>
          <t>F62, X-12</t>
        </is>
      </c>
      <c r="N66" s="45" t="n"/>
    </row>
    <row r="67" ht="15" customHeight="1" s="25">
      <c r="A67" s="44" t="inlineStr">
        <is>
          <t>F63</t>
        </is>
      </c>
      <c r="B67" s="45" t="inlineStr">
        <is>
          <t>content_feedback</t>
        </is>
      </c>
      <c r="C67" s="45" t="inlineStr">
        <is>
          <t>feedback_type</t>
        </is>
      </c>
      <c r="D67" s="45" t="inlineStr">
        <is>
          <t>enum  ·  not_interested</t>
        </is>
      </c>
      <c r="E67" s="45" t="n"/>
      <c r="F67" s="45" t="n"/>
      <c r="G67" s="45" t="inlineStr">
        <is>
          <t>Aravinth</t>
        </is>
      </c>
      <c r="H67" s="45" t="inlineStr">
        <is>
          <t>Built</t>
        </is>
      </c>
      <c r="I67" s="46" t="n">
        <v>46286</v>
      </c>
      <c r="J67" s="45" t="inlineStr">
        <is>
          <t>One of not_interested, hide, report, mute_author.</t>
        </is>
      </c>
      <c r="K67" s="45" t="inlineStr">
        <is>
          <t>Values are only the four listed.</t>
        </is>
      </c>
      <c r="L67" s="45" t="inlineStr">
        <is>
          <t>What the user chose</t>
        </is>
      </c>
      <c r="M67" s="45" t="inlineStr">
        <is>
          <t>F63, X-12</t>
        </is>
      </c>
      <c r="N67" s="45" t="n"/>
    </row>
    <row r="68" ht="51" customHeight="1" s="25">
      <c r="A68" s="44" t="inlineStr">
        <is>
          <t>F64</t>
        </is>
      </c>
      <c r="B68" s="45" t="inlineStr">
        <is>
          <t>content_feedback</t>
        </is>
      </c>
      <c r="C68" s="45" t="inlineStr">
        <is>
          <t>request_id</t>
        </is>
      </c>
      <c r="D68" s="45" t="inlineStr">
        <is>
          <t>string  ·  3f1c9a2e-7b4d-4e21-9c8a-5d6e7f8a9b0c</t>
        </is>
      </c>
      <c r="E68" s="45" t="n"/>
      <c r="F68" s="45" t="n"/>
      <c r="G68" s="45" t="inlineStr">
        <is>
          <t>Aravinth</t>
        </is>
      </c>
      <c r="H68" s="45" t="inlineStr">
        <is>
          <t>Built</t>
        </is>
      </c>
      <c r="I68" s="46" t="n">
        <v>46286</v>
      </c>
      <c r="J68" s="45" t="inlineStr">
        <is>
          <t>Set when the card was in a recommended list, otherwise null.</t>
        </is>
      </c>
      <c r="K68" s="45" t="inlineStr">
        <is>
          <t>Sample a hundred events from recommended lists and join back to the request: zero orphans. Null only where the action was not reached from a list.</t>
        </is>
      </c>
      <c r="L68" s="45" t="inlineStr">
        <is>
          <t>Links the feedback to the list that showed the card</t>
        </is>
      </c>
      <c r="M68" s="45" t="inlineStr">
        <is>
          <t>F64, X-07</t>
        </is>
      </c>
      <c r="N68" s="45" t="n"/>
    </row>
    <row r="69" ht="25.5" customHeight="1" s="25">
      <c r="A69" s="44" t="inlineStr">
        <is>
          <t>F65</t>
        </is>
      </c>
      <c r="B69" s="45" t="inlineStr">
        <is>
          <t>content_feedback</t>
        </is>
      </c>
      <c r="C69" s="45" t="inlineStr">
        <is>
          <t>server_ts</t>
        </is>
      </c>
      <c r="D69" s="45" t="inlineStr">
        <is>
          <t>datetime  ·  2026-11-04T09:16:05.000Z</t>
        </is>
      </c>
      <c r="E69" s="45" t="n"/>
      <c r="F69" s="45" t="n"/>
      <c r="G69" s="45" t="inlineStr">
        <is>
          <t>Aravinth</t>
        </is>
      </c>
      <c r="H69" s="45" t="inlineStr">
        <is>
          <t>Built</t>
        </is>
      </c>
      <c r="I69" s="46" t="n">
        <v>46286</v>
      </c>
      <c r="J69" s="45" t="inlineStr">
        <is>
          <t>UTC with milliseconds at receipt.</t>
        </is>
      </c>
      <c r="K69" s="45" t="inlineStr">
        <is>
          <t>UTC, ISO 8601, millisecond precision, and not equal to the time the event was ingested.</t>
        </is>
      </c>
      <c r="L69" s="45" t="inlineStr">
        <is>
          <t>When</t>
        </is>
      </c>
      <c r="M69" s="45" t="inlineStr">
        <is>
          <t>F65, X-12</t>
        </is>
      </c>
      <c r="N69" s="45" t="n"/>
    </row>
    <row r="70" ht="25.5" customHeight="1" s="25">
      <c r="A70" s="44" t="inlineStr">
        <is>
          <t>F66</t>
        </is>
      </c>
      <c r="B70" s="45" t="inlineStr">
        <is>
          <t>All events</t>
        </is>
      </c>
      <c r="C70" s="45" t="inlineStr">
        <is>
          <t>event_id</t>
        </is>
      </c>
      <c r="D70" s="45" t="inlineStr">
        <is>
          <t>string · act_1790570795035522_17f6d6f8:add_to_cart</t>
        </is>
      </c>
      <c r="E70" s="45" t="inlineStr">
        <is>
          <t>Must</t>
        </is>
      </c>
      <c r="F70" s="45" t="n"/>
      <c r="G70" s="45" t="inlineStr">
        <is>
          <t>Both</t>
        </is>
      </c>
      <c r="H70" s="45" t="inlineStr">
        <is>
          <t>Verify</t>
        </is>
      </c>
      <c r="I70" s="45" t="n"/>
      <c r="J70" s="45" t="inlineStr">
        <is>
          <t>postevents.event_id, kept as an opaque string: the app's id on app events, &lt;action key&gt;:&lt;event type&gt; on server actions. The de-duplication key (unique partial index).</t>
        </is>
      </c>
      <c r="K70" s="45" t="inlineStr">
        <is>
          <t>Every event has one, and no two different events share one.</t>
        </is>
      </c>
      <c r="L70" s="45" t="inlineStr">
        <is>
          <t>Without it a retry is stored twice.</t>
        </is>
      </c>
      <c r="M70" s="45" t="inlineStr">
        <is>
          <t>E-envelope</t>
        </is>
      </c>
      <c r="N70" s="45" t="inlineStr">
        <is>
          <t>28 Sep 2026: Not UUID v4 (API contract v2.4). Reported built (answers Q1).</t>
        </is>
      </c>
    </row>
    <row r="71" ht="25.5" customHeight="1" s="25">
      <c r="A71" s="44" t="inlineStr">
        <is>
          <t>F67</t>
        </is>
      </c>
      <c r="B71" s="45" t="inlineStr">
        <is>
          <t>All events</t>
        </is>
      </c>
      <c r="C71" s="45" t="inlineStr">
        <is>
          <t>event_name</t>
        </is>
      </c>
      <c r="D71" s="45" t="inlineStr">
        <is>
          <t>string · add_to_cart</t>
        </is>
      </c>
      <c r="E71" s="45" t="inlineStr">
        <is>
          <t>Must</t>
        </is>
      </c>
      <c r="F71" s="45" t="n"/>
      <c r="G71" s="45" t="inlineStr">
        <is>
          <t>Both</t>
        </is>
      </c>
      <c r="H71" s="45" t="inlineStr">
        <is>
          <t>Verify</t>
        </is>
      </c>
      <c r="I71" s="45" t="n"/>
      <c r="J71" s="45" t="inlineStr">
        <is>
          <t>postevents.event_type, mapped to the E codes on sheet 4.</t>
        </is>
      </c>
      <c r="K71" s="45" t="inlineStr">
        <is>
          <t>Only listed names appear.</t>
        </is>
      </c>
      <c r="L71" s="45" t="inlineStr">
        <is>
          <t>The engine routes on it.</t>
        </is>
      </c>
      <c r="M71" s="45" t="inlineStr">
        <is>
          <t>E-envelope</t>
        </is>
      </c>
      <c r="N71" s="45" t="n"/>
    </row>
    <row r="72" ht="25.5" customHeight="1" s="25">
      <c r="A72" s="44" t="inlineStr">
        <is>
          <t>F68</t>
        </is>
      </c>
      <c r="B72" s="45" t="inlineStr">
        <is>
          <t>All events</t>
        </is>
      </c>
      <c r="C72" s="45" t="inlineStr">
        <is>
          <t>server_ts</t>
        </is>
      </c>
      <c r="D72" s="45" t="inlineStr">
        <is>
          <t>datetime, UTC ISO 8601 with milliseconds</t>
        </is>
      </c>
      <c r="E72" s="45" t="inlineStr">
        <is>
          <t>Must</t>
        </is>
      </c>
      <c r="F72" s="45" t="n"/>
      <c r="G72" s="45" t="inlineStr">
        <is>
          <t>Both</t>
        </is>
      </c>
      <c r="H72" s="45" t="inlineStr">
        <is>
          <t>Verify</t>
        </is>
      </c>
      <c r="I72" s="45" t="n"/>
      <c r="J72" s="45" t="inlineStr">
        <is>
          <t>postevents.created_at, UTC with milliseconds: when it happened. updated_at (F74) is separate.</t>
        </is>
      </c>
      <c r="K72" s="45" t="inlineStr">
        <is>
          <t>Present on every event; never in the future.</t>
        </is>
      </c>
      <c r="L72" s="45" t="inlineStr">
        <is>
          <t>Every window and rolling measure uses it.</t>
        </is>
      </c>
      <c r="M72" s="45" t="inlineStr">
        <is>
          <t>E-envelope</t>
        </is>
      </c>
      <c r="N72" s="45" t="n"/>
    </row>
    <row r="73" ht="25.5" customHeight="1" s="25">
      <c r="A73" s="44" t="inlineStr">
        <is>
          <t>F69</t>
        </is>
      </c>
      <c r="B73" s="45" t="inlineStr">
        <is>
          <t>E1</t>
        </is>
      </c>
      <c r="C73" s="45" t="inlineStr">
        <is>
          <t>served_items</t>
        </is>
      </c>
      <c r="D73" s="45" t="inlineStr">
        <is>
          <t>array of {item_id, item_type, post_id, product_id, position}</t>
        </is>
      </c>
      <c r="E73" s="45" t="inlineStr">
        <is>
          <t>Must</t>
        </is>
      </c>
      <c r="F73" s="45" t="n"/>
      <c r="G73" s="45" t="inlineStr">
        <is>
          <t>Allen</t>
        </is>
      </c>
      <c r="H73" s="45" t="inlineStr">
        <is>
          <t>To build</t>
        </is>
      </c>
      <c r="I73" s="45" t="n"/>
      <c r="J73" s="45" t="inlineStr">
        <is>
          <t>The items actually returned by the service, with their positions, exactly as returned.</t>
        </is>
      </c>
      <c r="K73" s="45" t="inlineStr">
        <is>
          <t>Length equals the number of items in the response.</t>
        </is>
      </c>
      <c r="L73" s="45" t="inlineStr">
        <is>
          <t>Unseen items are derived from it.</t>
        </is>
      </c>
      <c r="M73" s="45" t="inlineStr">
        <is>
          <t>E1</t>
        </is>
      </c>
      <c r="N73" s="45" t="n"/>
    </row>
    <row r="74" ht="25.5" customHeight="1" s="25">
      <c r="A74" s="44" t="inlineStr">
        <is>
          <t>F70</t>
        </is>
      </c>
      <c r="B74" s="45" t="inlineStr">
        <is>
          <t>E1</t>
        </is>
      </c>
      <c r="C74" s="45" t="inlineStr">
        <is>
          <t>config_version</t>
        </is>
      </c>
      <c r="D74" s="45" t="inlineStr">
        <is>
          <t>string</t>
        </is>
      </c>
      <c r="E74" s="45" t="inlineStr">
        <is>
          <t>Must</t>
        </is>
      </c>
      <c r="F74" s="45" t="n"/>
      <c r="G74" s="45" t="inlineStr">
        <is>
          <t>Allen</t>
        </is>
      </c>
      <c r="H74" s="45" t="inlineStr">
        <is>
          <t>To build</t>
        </is>
      </c>
      <c r="I74" s="45" t="n"/>
      <c r="J74" s="45" t="inlineStr">
        <is>
          <t>The settings version in force for the request.</t>
        </is>
      </c>
      <c r="K74" s="45" t="inlineStr">
        <is>
          <t>Present on every E1.</t>
        </is>
      </c>
      <c r="L74" s="45" t="inlineStr">
        <is>
          <t>Ties a list back to the settings that produced it.</t>
        </is>
      </c>
      <c r="M74" s="45" t="inlineStr">
        <is>
          <t>E1</t>
        </is>
      </c>
      <c r="N74" s="45" t="n"/>
    </row>
    <row r="75" ht="25.5" customHeight="1" s="25">
      <c r="A75" s="44" t="inlineStr">
        <is>
          <t>F71</t>
        </is>
      </c>
      <c r="B75" s="45" t="inlineStr">
        <is>
          <t>E1</t>
        </is>
      </c>
      <c r="C75" s="45" t="inlineStr">
        <is>
          <t>slot_methods</t>
        </is>
      </c>
      <c r="D75" s="45" t="inlineStr">
        <is>
          <t>array of {slot, method, fallback_step}</t>
        </is>
      </c>
      <c r="E75" s="45" t="inlineStr">
        <is>
          <t>Must</t>
        </is>
      </c>
      <c r="F75" s="45" t="n"/>
      <c r="G75" s="45" t="inlineStr">
        <is>
          <t>Allen</t>
        </is>
      </c>
      <c r="H75" s="45" t="inlineStr">
        <is>
          <t>To build</t>
        </is>
      </c>
      <c r="I75" s="45" t="n"/>
      <c r="J75" s="45" t="inlineStr">
        <is>
          <t>For each slot the request touched: the method intended, and the fallback step used if any.</t>
        </is>
      </c>
      <c r="K75" s="45" t="inlineStr">
        <is>
          <t>Present on every E1, one entry per slot touched.</t>
        </is>
      </c>
      <c r="L75" s="45" t="inlineStr">
        <is>
          <t>The only record of which method served a user.</t>
        </is>
      </c>
      <c r="M75" s="45" t="inlineStr">
        <is>
          <t>E1</t>
        </is>
      </c>
      <c r="N75" s="45" t="n"/>
    </row>
    <row r="76" ht="25.5" customHeight="1" s="25">
      <c r="A76" s="44" t="inlineStr">
        <is>
          <t>F72</t>
        </is>
      </c>
      <c r="B76" s="45" t="inlineStr">
        <is>
          <t>E1</t>
        </is>
      </c>
      <c r="C76" s="45" t="inlineStr">
        <is>
          <t>scored_not_served</t>
        </is>
      </c>
      <c r="D76" s="45" t="inlineStr">
        <is>
          <t>array of {item_id, score}</t>
        </is>
      </c>
      <c r="E76" s="45" t="inlineStr">
        <is>
          <t>Should</t>
        </is>
      </c>
      <c r="F76" s="45" t="n"/>
      <c r="G76" s="45" t="inlineStr">
        <is>
          <t>Allen</t>
        </is>
      </c>
      <c r="H76" s="45" t="inlineStr">
        <is>
          <t>To build</t>
        </is>
      </c>
      <c r="I76" s="45" t="n"/>
      <c r="J76" s="45" t="inlineStr">
        <is>
          <t>A sample of scored items that were not returned: 10% at random, plus all returned items, plus everything on exploration lists.</t>
        </is>
      </c>
      <c r="K76" s="45" t="inlineStr">
        <is>
          <t>Present on about 10% of E1 rows, and on every exploration row.</t>
        </is>
      </c>
      <c r="L76" s="45" t="inlineStr">
        <is>
          <t>Needed to measure what the engine passed over.</t>
        </is>
      </c>
      <c r="M76" s="45" t="inlineStr">
        <is>
          <t>E1</t>
        </is>
      </c>
      <c r="N76" s="45" t="n"/>
    </row>
    <row r="77" ht="25.5" customHeight="1" s="25">
      <c r="A77" s="44" t="inlineStr">
        <is>
          <t>F73</t>
        </is>
      </c>
      <c r="B77" s="45" t="inlineStr">
        <is>
          <t>Post view (postevents)</t>
        </is>
      </c>
      <c r="C77" s="45" t="inlineStr">
        <is>
          <t>view_key</t>
        </is>
      </c>
      <c r="D77" s="45" t="inlineStr">
        <is>
          <t>string</t>
        </is>
      </c>
      <c r="E77" s="45" t="inlineStr">
        <is>
          <t>Must</t>
        </is>
      </c>
      <c r="F77" s="45" t="n"/>
      <c r="G77" s="45" t="inlineStr">
        <is>
          <t>Aravinth</t>
        </is>
      </c>
      <c r="H77" s="45" t="inlineStr">
        <is>
          <t>Closed</t>
        </is>
      </c>
      <c r="I77" s="45" t="n"/>
      <c r="J77" s="45" t="inlineStr">
        <is>
          <t>Deprecated. session_id holds the ses_ session id, and one view per viewer per post is enforced by the unique index uniq_view_per_user_post.</t>
        </is>
      </c>
      <c r="K77" s="45" t="inlineStr">
        <is>
          <t>Present on view events; session_id now holds the ses_ session id instead.</t>
        </is>
      </c>
      <c r="L77" s="45" t="inlineStr">
        <is>
          <t>Keeps the old per-view key without overloading session_id.</t>
        </is>
      </c>
      <c r="M77" s="45" t="inlineStr">
        <is>
          <t>X-14</t>
        </is>
      </c>
      <c r="N77" s="45" t="inlineStr">
        <is>
          <t>28 Sep 2026: Closed, kept for history.</t>
        </is>
      </c>
    </row>
    <row r="78" ht="25.5" customHeight="1" s="25">
      <c r="A78" s="44" t="inlineStr">
        <is>
          <t>F74</t>
        </is>
      </c>
      <c r="B78" s="45" t="inlineStr">
        <is>
          <t>All platform rows</t>
        </is>
      </c>
      <c r="C78" s="45" t="inlineStr">
        <is>
          <t>updated_at</t>
        </is>
      </c>
      <c r="D78" s="45" t="inlineStr">
        <is>
          <t>datetime · 2026-09-28T04:46:36.805Z</t>
        </is>
      </c>
      <c r="E78" s="45" t="inlineStr">
        <is>
          <t>Must</t>
        </is>
      </c>
      <c r="F78" s="45" t="n"/>
      <c r="G78" s="45" t="inlineStr">
        <is>
          <t>Aravinth</t>
        </is>
      </c>
      <c r="H78" s="45" t="inlineStr">
        <is>
          <t>Verify</t>
        </is>
      </c>
      <c r="I78" s="45" t="n"/>
      <c r="J78" s="45" t="inlineStr">
        <is>
          <t>Set on insert and moved on every change, on every write path, on postevents, orders and recommendationrequests (and posts, users, businessregisters from DB-14). Indexed.</t>
        </is>
      </c>
      <c r="K78" s="45" t="inlineStr">
        <is>
          <t>A like undone, an order cancelled and a served list whose seen_ids fill in each move it.</t>
        </is>
      </c>
      <c r="L78" s="45" t="inlineStr">
        <is>
          <t>The engine sync reads by it (X-02).</t>
        </is>
      </c>
      <c r="M78" s="45" t="inlineStr">
        <is>
          <t>X-02</t>
        </is>
      </c>
      <c r="N78" s="45" t="inlineStr">
        <is>
          <t>Added 28 Sep 2026: reported built for the three collections (answers Q2).</t>
        </is>
      </c>
    </row>
    <row r="79" ht="25.5" customHeight="1" s="25">
      <c r="A79" s="44" t="inlineStr">
        <is>
          <t>F75</t>
        </is>
      </c>
      <c r="B79" s="45" t="inlineStr">
        <is>
          <t>E1, E2, E3</t>
        </is>
      </c>
      <c r="C79" s="45" t="inlineStr">
        <is>
          <t>post_id, product_id</t>
        </is>
      </c>
      <c r="D79" s="45" t="inlineStr">
        <is>
          <t>string · 6ab9f12a4abf7253e2b16879</t>
        </is>
      </c>
      <c r="E79" s="45" t="inlineStr">
        <is>
          <t>Must</t>
        </is>
      </c>
      <c r="F79" s="45" t="n"/>
      <c r="G79" s="45" t="inlineStr">
        <is>
          <t>Allen; Aravinth</t>
        </is>
      </c>
      <c r="H79" s="45" t="inlineStr">
        <is>
          <t>To build</t>
        </is>
      </c>
      <c r="I79" s="45" t="n"/>
      <c r="J79" s="45" t="inlineStr">
        <is>
          <t>Kept alongside item_id on every served item and every impression and click: the post (or null) and the product the card shows (or null).</t>
        </is>
      </c>
      <c r="K79" s="45" t="inlineStr">
        <is>
          <t>An impression on a product post joins to both the post and the product.</t>
        </is>
      </c>
      <c r="L79" s="45" t="inlineStr">
        <is>
          <t>Joins an event to the exact card and its product.</t>
        </is>
      </c>
      <c r="M79" s="45" t="inlineStr">
        <is>
          <t>X-16</t>
        </is>
      </c>
      <c r="N79" s="45" t="inlineStr">
        <is>
          <t xml:space="preserve">Added 28 Sep 2026: </t>
        </is>
      </c>
    </row>
    <row r="80" ht="25.5" customHeight="1" s="25">
      <c r="A80" s="44" t="inlineStr">
        <is>
          <t>F76</t>
        </is>
      </c>
      <c r="B80" s="45" t="inlineStr">
        <is>
          <t>Delivered-list record</t>
        </is>
      </c>
      <c r="C80" s="45" t="inlineStr">
        <is>
          <t>engine_position</t>
        </is>
      </c>
      <c r="D80" s="45" t="inlineStr">
        <is>
          <t>integer · 3</t>
        </is>
      </c>
      <c r="E80" s="45" t="inlineStr">
        <is>
          <t>Must</t>
        </is>
      </c>
      <c r="F80" s="45" t="n"/>
      <c r="G80" s="45" t="inlineStr">
        <is>
          <t>Aravinth</t>
        </is>
      </c>
      <c r="H80" s="45" t="inlineStr">
        <is>
          <t>Closed</t>
        </is>
      </c>
      <c r="I80" s="45" t="n"/>
      <c r="J80" s="45" t="inlineStr">
        <is>
          <t>Not needed: engine lists are shown unchanged (X-17).</t>
        </is>
      </c>
      <c r="K80" s="45" t="inlineStr">
        <is>
          <t>Every delivered and dropped item has one; shown positions run 1 to n.</t>
        </is>
      </c>
      <c r="L80" s="45" t="inlineStr">
        <is>
          <t>Maps displayed positions back to the engine's list.</t>
        </is>
      </c>
      <c r="M80" s="45" t="inlineStr">
        <is>
          <t>X-06, X-17</t>
        </is>
      </c>
      <c r="N80" s="45" t="inlineStr">
        <is>
          <t>29 Sep 2026: Closed.</t>
        </is>
      </c>
    </row>
    <row r="81" ht="25.5" customHeight="1" s="25">
      <c r="A81" s="44" t="inlineStr">
        <is>
          <t>F77</t>
        </is>
      </c>
      <c r="B81" s="45" t="inlineStr">
        <is>
          <t>All platform rows</t>
        </is>
      </c>
      <c r="C81" s="45" t="inlineStr">
        <is>
          <t>undo_of, undone_at</t>
        </is>
      </c>
      <c r="D81" s="45" t="inlineStr">
        <is>
          <t>ObjectId · 6ab9f12b4abf7253e2b168a2</t>
        </is>
      </c>
      <c r="E81" s="45" t="inlineStr">
        <is>
          <t>Must</t>
        </is>
      </c>
      <c r="F81" s="45" t="n"/>
      <c r="G81" s="45" t="inlineStr">
        <is>
          <t>Aravinth</t>
        </is>
      </c>
      <c r="H81" s="45" t="inlineStr">
        <is>
          <t>Verify</t>
        </is>
      </c>
      <c r="I81" s="45" t="n"/>
      <c r="J81" s="45" t="inlineStr">
        <is>
          <t>undo_of on an undo row: the _id of the row it cancels. undone_at on the original: when it was cancelled. Nothing is deleted.</t>
        </is>
      </c>
      <c r="K81" s="45" t="inlineStr">
        <is>
          <t>Unlike, unsave, uncomment, unfollow and wishlist_remove each point at their original.</t>
        </is>
      </c>
      <c r="L81" s="45" t="inlineStr">
        <is>
          <t>The engine and fraud rules read the full history.</t>
        </is>
      </c>
      <c r="M81" s="45" t="inlineStr">
        <is>
          <t>X-18</t>
        </is>
      </c>
      <c r="N81" s="45" t="inlineStr">
        <is>
          <t>Added 28 Sep 2026: reported built (answers Q2, Q12).</t>
        </is>
      </c>
    </row>
    <row r="82" ht="25.5" customHeight="1" s="25">
      <c r="A82" s="44" t="inlineStr">
        <is>
          <t>F78</t>
        </is>
      </c>
      <c r="B82" s="45" t="inlineStr">
        <is>
          <t>orders</t>
        </is>
      </c>
      <c r="C82" s="45" t="inlineStr">
        <is>
          <t>return_info.returned_at</t>
        </is>
      </c>
      <c r="D82" s="45" t="inlineStr">
        <is>
          <t>datetime  ·  2026-10-14T11:10:12.063Z</t>
        </is>
      </c>
      <c r="E82" s="45" t="inlineStr">
        <is>
          <t>Blocking</t>
        </is>
      </c>
      <c r="F82" s="45" t="n"/>
      <c r="G82" s="45" t="inlineStr">
        <is>
          <t>Aravinth</t>
        </is>
      </c>
      <c r="H82" s="45" t="inlineStr">
        <is>
          <t>Closed</t>
        </is>
      </c>
      <c r="I82" s="45" t="n"/>
      <c r="J82" s="45" t="inlineStr">
        <is>
          <t>Already captured: set when the seller records the return, together with reason, refund_amount, refund_reference and recorded_by. The engine reads returned_at only. return_info exists, with every value null, on orders never returned, so its presence means nothing.</t>
        </is>
      </c>
      <c r="K82" s="45" t="inlineStr">
        <is>
          <t>Every Returned order has returned_at.</t>
        </is>
      </c>
      <c r="L82" s="45" t="inlineStr">
        <is>
          <t>The time of a return.</t>
        </is>
      </c>
      <c r="M82" s="45" t="inlineStr">
        <is>
          <t>D1, X-23</t>
        </is>
      </c>
      <c r="N82" s="45" t="inlineStr">
        <is>
          <t>14 Oct 2026: There is no return_info.requested_at: a request is a returnrequests record (F81). Build list ENG-30 point 6.
Added 28 Sep 2026: Build list DB-03, APP-10.</t>
        </is>
      </c>
    </row>
    <row r="83" ht="25.5" customHeight="1" s="25">
      <c r="A83" s="44" t="inlineStr">
        <is>
          <t>F79</t>
        </is>
      </c>
      <c r="B83" s="45" t="inlineStr">
        <is>
          <t>postevents, orders, carts</t>
        </is>
      </c>
      <c r="C83" s="45" t="inlineStr">
        <is>
          <t>user_model / userModel</t>
        </is>
      </c>
      <c r="D83" s="45" t="inlineStr">
        <is>
          <t>enum · businessRegister</t>
        </is>
      </c>
      <c r="E83" s="45" t="inlineStr">
        <is>
          <t>Must</t>
        </is>
      </c>
      <c r="F83" s="45" t="n"/>
      <c r="G83" s="45" t="inlineStr">
        <is>
          <t>Aravinth</t>
        </is>
      </c>
      <c r="H83" s="45" t="inlineStr">
        <is>
          <t>Verify</t>
        </is>
      </c>
      <c r="I83" s="45" t="n"/>
      <c r="J83" s="45" t="inlineStr">
        <is>
          <t>user or businessRegister: which collection the actor id belongs to.</t>
        </is>
      </c>
      <c r="K83" s="45" t="inlineStr">
        <is>
          <t>Every row has it.</t>
        </is>
      </c>
      <c r="L83" s="45" t="inlineStr">
        <is>
          <t>Business accounts act too.</t>
        </is>
      </c>
      <c r="M83" s="45" t="inlineStr">
        <is>
          <t>X-16</t>
        </is>
      </c>
      <c r="N83" s="45" t="inlineStr">
        <is>
          <t xml:space="preserve">Added 28 Sep 2026: </t>
        </is>
      </c>
    </row>
    <row r="84" ht="25.5" customHeight="1" s="25">
      <c r="A84" s="44" t="inlineStr">
        <is>
          <t>F80</t>
        </is>
      </c>
      <c r="B84" s="45" t="inlineStr">
        <is>
          <t>Serve log (rec_serve_log)</t>
        </is>
      </c>
      <c r="C84" s="45" t="inlineStr">
        <is>
          <t>request_id, user_id, surface, page, origin, outcome, elapsed_ms, at</t>
        </is>
      </c>
      <c r="D84" s="45" t="inlineStr">
        <is>
          <t>origin: engine | fallback | cache; outcome: ok | timeout | error | off | skipped</t>
        </is>
      </c>
      <c r="E84" s="45" t="inlineStr">
        <is>
          <t>Must</t>
        </is>
      </c>
      <c r="F84" s="45" t="n"/>
      <c r="G84" s="45" t="inlineStr">
        <is>
          <t>Aravinth</t>
        </is>
      </c>
      <c r="H84" s="45" t="inlineStr">
        <is>
          <t>To build</t>
        </is>
      </c>
      <c r="I84" s="45" t="n"/>
      <c r="J84" s="45" t="inlineStr">
        <is>
          <t>One row per list request, written by SOCO_BE.</t>
        </is>
      </c>
      <c r="K84" s="45" t="inlineStr">
        <is>
          <t>One row per request, with the right origin and outcome when the engine is up, stopped and switched off.</t>
        </is>
      </c>
      <c r="L84" s="45" t="inlineStr">
        <is>
          <t>The fallback rate and the speed seen by SOCO_BE are measured from it.</t>
        </is>
      </c>
      <c r="M84" s="45" t="inlineStr">
        <is>
          <t>X-17</t>
        </is>
      </c>
      <c r="N84" s="45" t="inlineStr">
        <is>
          <t>Added 29 Sep 2026: Build list APP-15.</t>
        </is>
      </c>
    </row>
    <row r="85" ht="15.75" customHeight="1" s="25">
      <c r="A85" s="44" t="inlineStr">
        <is>
          <t>F81</t>
        </is>
      </c>
      <c r="B85" s="45" t="inlineStr">
        <is>
          <t>returnrequests</t>
        </is>
      </c>
      <c r="C85" s="45" t="inlineStr">
        <is>
          <t>orderId, returnNumber, status, isActive, createdAt, completedAt, updatedAt, windowEndsAt, policySnapshot.windowDays</t>
        </is>
      </c>
      <c r="D85" s="45" t="inlineStr">
        <is>
          <t>record  ·  RET-115A15BF, completed, false</t>
        </is>
      </c>
      <c r="E85" s="45" t="inlineStr">
        <is>
          <t>Must</t>
        </is>
      </c>
      <c r="F85" s="45" t="n"/>
      <c r="G85" s="45" t="inlineStr">
        <is>
          <t>Aravinth; Allen copies</t>
        </is>
      </c>
      <c r="H85" s="45" t="inlineStr">
        <is>
          <t>Closed</t>
        </is>
      </c>
      <c r="I85" s="45" t="n"/>
      <c r="J85" s="45" t="inlineStr">
        <is>
          <t>Already captured. One record per return request. Open while isActive is true. The engine copies only these fields (build list ENG-30 point 7); the pickup address, phone, photos, comment and refund destination are never copied. A rejected, withdrawn or cancelled request is expected to become inactive; Kala confirms this with Aravinth.</t>
        </is>
      </c>
      <c r="K85" s="45" t="inlineStr">
        <is>
          <t>A record with isActive false and status completed exists for every Returned order that had a request; an open request has isActive true.</t>
        </is>
      </c>
      <c r="L85" s="45" t="inlineStr">
        <is>
          <t>Tells an open return request from a completed return.</t>
        </is>
      </c>
      <c r="M85" s="45" t="inlineStr">
        <is>
          <t>X-23</t>
        </is>
      </c>
      <c r="N85" s="45" t="inlineStr">
        <is>
          <t>14 Oct 2026: Added. Verified on the platform database: the collection is returnrequests (no orderrequests collection exists; the earlier report used that name), and record RET-115A15BF for order 6a9fac747498f914bd4a50c8 has every field listed, status completed, isActive false, and updatedAt equal to the time of its last timeline event (11:10:11.967 UTC), so updatedAt moves when a request changes.</t>
        </is>
      </c>
    </row>
    <row r="86" ht="15.75" customHeight="1" s="25">
      <c r="A86" s="44" t="inlineStr">
        <is>
          <t>F82</t>
        </is>
      </c>
      <c r="B86" s="45" t="inlineStr">
        <is>
          <t>products</t>
        </is>
      </c>
      <c r="C86" s="45" t="inlineStr">
        <is>
          <t>deliveryConfig.returnWindow, deliveryConfig.isReturnApplicable</t>
        </is>
      </c>
      <c r="D86" s="45" t="inlineStr">
        <is>
          <t>integer, boolean  ·  30, true</t>
        </is>
      </c>
      <c r="E86" s="45" t="inlineStr">
        <is>
          <t>Must</t>
        </is>
      </c>
      <c r="F86" s="45" t="n"/>
      <c r="G86" s="45" t="inlineStr">
        <is>
          <t>Aravinth</t>
        </is>
      </c>
      <c r="H86" s="45" t="inlineStr">
        <is>
          <t>Closed</t>
        </is>
      </c>
      <c r="I86" s="45" t="n"/>
      <c r="J86" s="45" t="inlineStr">
        <is>
          <t>Already captured. The product's return window in days, and whether returns apply. The engine counts the window from the Delivered time (build list ENG-30 point 8).</t>
        </is>
      </c>
      <c r="K86" s="45" t="inlineStr">
        <is>
          <t>Present on products; returnWindow is a whole number of days.</t>
        </is>
      </c>
      <c r="L86" s="45" t="inlineStr">
        <is>
          <t>Decides when a sale is complete.</t>
        </is>
      </c>
      <c r="M86" s="45" t="inlineStr">
        <is>
          <t>X-23</t>
        </is>
      </c>
      <c r="N86" s="45" t="inlineStr">
        <is>
          <t>14 Oct 2026: Added.</t>
        </is>
      </c>
    </row>
    <row r="87" ht="15.75" customHeight="1" s="25">
      <c r="A87" s="44" t="inlineStr">
        <is>
          <t>F83</t>
        </is>
      </c>
      <c r="B87" s="45" t="inlineStr">
        <is>
          <t>posts</t>
        </is>
      </c>
      <c r="C87" s="45" t="inlineStr">
        <is>
          <t>isRepost, repostDetails.originalPostId</t>
        </is>
      </c>
      <c r="D87" s="45" t="inlineStr">
        <is>
          <t>boolean, ObjectId</t>
        </is>
      </c>
      <c r="E87" s="45" t="inlineStr">
        <is>
          <t>Must</t>
        </is>
      </c>
      <c r="F87" s="45" t="n"/>
      <c r="G87" s="45" t="inlineStr">
        <is>
          <t>Aravinth</t>
        </is>
      </c>
      <c r="H87" s="45" t="inlineStr">
        <is>
          <t>Closed</t>
        </is>
      </c>
      <c r="I87" s="45" t="n"/>
      <c r="J87" s="45" t="inlineStr">
        <is>
          <t>Already captured. On a repost, originalPostId points one level up the chain; the engine follows it to the original (build list ENG-30 point 3).</t>
        </is>
      </c>
      <c r="K87" s="45" t="inlineStr">
        <is>
          <t>Every repost has originalPostId, and following it ends at a post with isRepost false.</t>
        </is>
      </c>
      <c r="L87" s="45" t="inlineStr">
        <is>
          <t>Credits a sale through a repost to the original author.</t>
        </is>
      </c>
      <c r="M87" s="45" t="inlineStr">
        <is>
          <t>X-22</t>
        </is>
      </c>
      <c r="N87" s="45" t="inlineStr">
        <is>
          <t>14 Oct 2026: Added (App Team answers of 13 Oct, Q8).</t>
        </is>
      </c>
    </row>
    <row r="88" ht="15.75" customHeight="1" s="25">
      <c r="A88" s="44" t="inlineStr">
        <is>
          <t>F84</t>
        </is>
      </c>
      <c r="B88" s="45" t="inlineStr">
        <is>
          <t>posts</t>
        </is>
      </c>
      <c r="C88" s="45" t="inlineStr">
        <is>
          <t>_seedTag</t>
        </is>
      </c>
      <c r="D88" s="45" t="inlineStr">
        <is>
          <t>string  ·  soco-seed-2024</t>
        </is>
      </c>
      <c r="E88" s="45" t="inlineStr">
        <is>
          <t>Should</t>
        </is>
      </c>
      <c r="F88" s="45" t="n"/>
      <c r="G88" s="45" t="inlineStr">
        <is>
          <t>Aravinth</t>
        </is>
      </c>
      <c r="H88" s="45" t="inlineStr">
        <is>
          <t>Closed</t>
        </is>
      </c>
      <c r="I88" s="45" t="n"/>
      <c r="J88" s="45" t="inlineStr">
        <is>
          <t>Already captured, on posts only. Hidden from the app's own reads. A post carrying it is test data (build list ENG-30 point 9).</t>
        </is>
      </c>
      <c r="K88" s="45" t="inlineStr">
        <is>
          <t>Read directly from the posts collection.</t>
        </is>
      </c>
      <c r="L88" s="45" t="inlineStr">
        <is>
          <t>Keeps seeded test posts out of learning and measurement.</t>
        </is>
      </c>
      <c r="M88" s="45" t="inlineStr">
        <is>
          <t>X-22</t>
        </is>
      </c>
      <c r="N88" s="45" t="inlineStr">
        <is>
          <t>14 Oct 2026: Added (App Team answers of 13 Oct, Q6).</t>
        </is>
      </c>
    </row>
    <row r="89" ht="15.75" customHeight="1" s="25">
      <c r="A89" s="44" t="inlineStr">
        <is>
          <t>F85</t>
        </is>
      </c>
      <c r="B89" s="45" t="inlineStr">
        <is>
          <t>businessregisters</t>
        </is>
      </c>
      <c r="C89" s="45" t="inlineStr">
        <is>
          <t>user_id</t>
        </is>
      </c>
      <c r="D89" s="45" t="inlineStr">
        <is>
          <t>string  ·  6a3a6df8bac0b9eb430edc7c</t>
        </is>
      </c>
      <c r="E89" s="45" t="inlineStr">
        <is>
          <t>Must</t>
        </is>
      </c>
      <c r="F89" s="45" t="n"/>
      <c r="G89" s="45" t="inlineStr">
        <is>
          <t>Aravinth</t>
        </is>
      </c>
      <c r="H89" s="45" t="inlineStr">
        <is>
          <t>Closed</t>
        </is>
      </c>
      <c r="I89" s="45" t="n"/>
      <c r="J89" s="45" t="inlineStr">
        <is>
          <t>Already captured: the personal account that owns the store, as text. The engine treats the account and its stores as one person (build list ENG-30 point 2).</t>
        </is>
      </c>
      <c r="K89" s="45" t="inlineStr">
        <is>
          <t>Present on every store.</t>
        </is>
      </c>
      <c r="L89" s="45" t="inlineStr">
        <is>
          <t>Self-purchase and own products cover every account a person owns.</t>
        </is>
      </c>
      <c r="M89" s="45" t="inlineStr">
        <is>
          <t>X-22</t>
        </is>
      </c>
      <c r="N89" s="45" t="inlineStr">
        <is>
          <t>14 Oct 2026: Added.</t>
        </is>
      </c>
    </row>
    <row r="90" ht="15.75" customHeight="1" s="25">
      <c r="A90" s="44" t="inlineStr">
        <is>
          <t>F86</t>
        </is>
      </c>
      <c r="B90" s="45" t="inlineStr">
        <is>
          <t>commissionconfigs</t>
        </is>
      </c>
      <c r="C90" s="45" t="inlineStr">
        <is>
          <t>scope, scopeId, enabled, poolPercent, minOrderAmount, holdDays (and the other settings)</t>
        </is>
      </c>
      <c r="D90" s="45" t="inlineStr">
        <is>
          <t>record  ·  seller, 10</t>
        </is>
      </c>
      <c r="E90" s="45" t="inlineStr">
        <is>
          <t>Must</t>
        </is>
      </c>
      <c r="F90" s="45" t="n"/>
      <c r="G90" s="45" t="inlineStr">
        <is>
          <t>Aravinth</t>
        </is>
      </c>
      <c r="H90" s="45" t="inlineStr">
        <is>
          <t>Closed</t>
        </is>
      </c>
      <c r="I90" s="45" t="n"/>
      <c r="J90" s="45" t="inlineStr">
        <is>
          <t>Already captured. Merged field by field: product row &gt; store row &gt; platform row &gt; built-in defaults (build list ENG-30 point 4).</t>
        </is>
      </c>
      <c r="K90" s="45" t="inlineStr">
        <is>
          <t>Read with the engine's read-only login; a read role on the soco database covers it.</t>
        </is>
      </c>
      <c r="L90" s="45" t="inlineStr">
        <is>
          <t>The commission rate M6 uses.</t>
        </is>
      </c>
      <c r="M90" s="45" t="inlineStr">
        <is>
          <t>X-22</t>
        </is>
      </c>
      <c r="N90" s="45" t="inlineStr">
        <is>
          <t>14 Oct 2026: Added (App Team answers of 13 Oct, Q7).</t>
        </is>
      </c>
    </row>
    <row r="91" ht="15.75" customHeight="1" s="25"/>
    <row r="92" ht="15.75" customHeight="1" s="25"/>
    <row r="93" ht="15.75" customHeight="1" s="25"/>
    <row r="94" ht="15.75" customHeight="1" s="25"/>
    <row r="95" ht="15.75" customHeight="1" s="25"/>
    <row r="96" ht="15.75" customHeight="1" s="25"/>
    <row r="97" ht="15.75" customHeight="1" s="25"/>
    <row r="98" ht="15.75" customHeight="1" s="25"/>
    <row r="99" ht="15.75" customHeight="1" s="25"/>
    <row r="100" ht="15.75" customHeight="1" s="25"/>
    <row r="101" ht="15.75" customHeight="1" s="25"/>
    <row r="102" ht="15.75" customHeight="1" s="25"/>
    <row r="103" ht="15.75" customHeight="1" s="25"/>
    <row r="104" ht="15.75" customHeight="1" s="25"/>
    <row r="105" ht="15.75" customHeight="1" s="25"/>
    <row r="106" ht="15.75" customHeight="1" s="25"/>
    <row r="107" ht="15.75" customHeight="1" s="25"/>
    <row r="108" ht="15.75" customHeight="1" s="25"/>
    <row r="109" ht="15.75" customHeight="1" s="25"/>
    <row r="110" ht="15.75" customHeight="1" s="25"/>
    <row r="111" ht="15.75" customHeight="1" s="25"/>
    <row r="112" ht="15.75" customHeight="1" s="25"/>
    <row r="113" ht="15.75" customHeight="1" s="25"/>
    <row r="114" ht="15.75" customHeight="1" s="25"/>
    <row r="115" ht="15.75" customHeight="1" s="25"/>
    <row r="116" ht="15.75" customHeight="1" s="25"/>
    <row r="117" ht="15.75" customHeight="1" s="25"/>
    <row r="118" ht="15.75" customHeight="1" s="25"/>
    <row r="119" ht="15.75" customHeight="1" s="25"/>
    <row r="120" ht="15.75" customHeight="1" s="25"/>
    <row r="121" ht="15.75" customHeight="1" s="25"/>
    <row r="122" ht="15.75" customHeight="1" s="25"/>
    <row r="123" ht="15.75" customHeight="1" s="25"/>
    <row r="124" ht="15.75" customHeight="1" s="25"/>
    <row r="125" ht="15.75" customHeight="1" s="25"/>
    <row r="126" ht="15.75" customHeight="1" s="25"/>
    <row r="127" ht="15.75" customHeight="1" s="25"/>
    <row r="128" ht="15.75" customHeight="1" s="25"/>
    <row r="129" ht="15.75" customHeight="1" s="25"/>
    <row r="130" ht="15.75" customHeight="1" s="25"/>
    <row r="131" ht="15.75" customHeight="1" s="25"/>
    <row r="132" ht="15.75" customHeight="1" s="25"/>
    <row r="133" ht="15.75" customHeight="1" s="25"/>
    <row r="134" ht="15.75" customHeight="1" s="25"/>
    <row r="135" ht="15.75" customHeight="1" s="25"/>
    <row r="136" ht="15.75" customHeight="1" s="25"/>
    <row r="137" ht="15.75" customHeight="1" s="25"/>
    <row r="138" ht="15.75" customHeight="1" s="25"/>
    <row r="139" ht="15.75" customHeight="1" s="25"/>
    <row r="140" ht="15.75" customHeight="1" s="25"/>
    <row r="141" ht="15.75" customHeight="1" s="25"/>
    <row r="142" ht="15.75" customHeight="1" s="25"/>
    <row r="143" ht="15.75" customHeight="1" s="25"/>
    <row r="144" ht="15.75" customHeight="1" s="25"/>
    <row r="145" ht="15.75" customHeight="1" s="25"/>
    <row r="146" ht="15.75" customHeight="1" s="25"/>
    <row r="147" ht="15.75" customHeight="1" s="25"/>
    <row r="148" ht="15.75" customHeight="1" s="25"/>
    <row r="149" ht="15.75" customHeight="1" s="25"/>
    <row r="150" ht="15.75" customHeight="1" s="25"/>
    <row r="151" ht="15.75" customHeight="1" s="25"/>
    <row r="152" ht="15.75" customHeight="1" s="25"/>
    <row r="153" ht="15.75" customHeight="1" s="25"/>
    <row r="154" ht="15.75" customHeight="1" s="25"/>
    <row r="155" ht="15.75" customHeight="1" s="25"/>
    <row r="156" ht="15.75" customHeight="1" s="25"/>
    <row r="157" ht="15.75" customHeight="1" s="25"/>
    <row r="158" ht="15.75" customHeight="1" s="25"/>
    <row r="159" ht="15.75" customHeight="1" s="25"/>
    <row r="160" ht="15.75" customHeight="1" s="25"/>
    <row r="161" ht="15.75" customHeight="1" s="25"/>
    <row r="162" ht="15.75" customHeight="1" s="25"/>
    <row r="163" ht="15.75" customHeight="1" s="25"/>
    <row r="164" ht="15.75" customHeight="1" s="25"/>
    <row r="165" ht="15.75" customHeight="1" s="25"/>
    <row r="166" ht="15.75" customHeight="1" s="25"/>
    <row r="167" ht="15.75" customHeight="1" s="25"/>
    <row r="168" ht="15.75" customHeight="1" s="25"/>
    <row r="169" ht="15.75" customHeight="1" s="25"/>
    <row r="170" ht="15.75" customHeight="1" s="25"/>
    <row r="171" ht="15.75" customHeight="1" s="25"/>
    <row r="172" ht="15.75" customHeight="1" s="25"/>
    <row r="173" ht="15.75" customHeight="1" s="25"/>
    <row r="174" ht="15.75" customHeight="1" s="25"/>
    <row r="175" ht="15.75" customHeight="1" s="25"/>
    <row r="176" ht="15.75" customHeight="1" s="25"/>
    <row r="177" ht="15.75" customHeight="1" s="25"/>
    <row r="178" ht="15.75" customHeight="1" s="25"/>
    <row r="179" ht="15.75" customHeight="1" s="25"/>
    <row r="180" ht="15.75" customHeight="1" s="25"/>
    <row r="181" ht="15.75" customHeight="1" s="25"/>
    <row r="182" ht="15.75" customHeight="1" s="25"/>
    <row r="183" ht="15.75" customHeight="1" s="25"/>
    <row r="184" ht="15.75" customHeight="1" s="25"/>
    <row r="185" ht="15.75" customHeight="1" s="25"/>
    <row r="186" ht="15.75" customHeight="1" s="25"/>
    <row r="187" ht="15.75" customHeight="1" s="25"/>
    <row r="188" ht="15.75" customHeight="1" s="25"/>
    <row r="189" ht="15.75" customHeight="1" s="25"/>
    <row r="190" ht="15.75" customHeight="1" s="25"/>
    <row r="191" ht="15.75" customHeight="1" s="25"/>
    <row r="192" ht="15.75" customHeight="1" s="25"/>
    <row r="193" ht="15.75" customHeight="1" s="25"/>
    <row r="194" ht="15.75" customHeight="1" s="25"/>
    <row r="195" ht="15.75" customHeight="1" s="25"/>
    <row r="196" ht="15.75" customHeight="1" s="25"/>
    <row r="197" ht="15.75" customHeight="1" s="25"/>
    <row r="198" ht="15.75" customHeight="1" s="25"/>
    <row r="199" ht="15.75" customHeight="1" s="25"/>
    <row r="200" ht="15.75" customHeight="1" s="25"/>
    <row r="201" ht="15.75" customHeight="1" s="25"/>
    <row r="202" ht="15.75" customHeight="1" s="25"/>
    <row r="203" ht="15.75" customHeight="1" s="25"/>
    <row r="204" ht="15.75" customHeight="1" s="25"/>
    <row r="205" ht="15.75" customHeight="1" s="25"/>
    <row r="206" ht="15.75" customHeight="1" s="25"/>
    <row r="207" ht="15.75" customHeight="1" s="25"/>
    <row r="208" ht="15.75" customHeight="1" s="25"/>
    <row r="209" ht="15.75" customHeight="1" s="25"/>
    <row r="210" ht="15.75" customHeight="1" s="25"/>
    <row r="211" ht="15.75" customHeight="1" s="25"/>
    <row r="212" ht="15.75" customHeight="1" s="25"/>
    <row r="213" ht="15.75" customHeight="1" s="25"/>
    <row r="214" ht="15.75" customHeight="1" s="25"/>
    <row r="215" ht="15.75" customHeight="1" s="25"/>
    <row r="216" ht="15.75" customHeight="1" s="25"/>
    <row r="217" ht="15.75" customHeight="1" s="25"/>
    <row r="218" ht="15.75" customHeight="1" s="25"/>
    <row r="219" ht="15.75" customHeight="1" s="25"/>
    <row r="220" ht="15.75" customHeight="1" s="25"/>
    <row r="221" ht="15.75" customHeight="1" s="25"/>
    <row r="222" ht="15.75" customHeight="1" s="25"/>
    <row r="223" ht="15.75" customHeight="1" s="25"/>
    <row r="224" ht="15.75" customHeight="1" s="25"/>
    <row r="225" ht="15.75" customHeight="1" s="25"/>
    <row r="226" ht="15.75" customHeight="1" s="25"/>
    <row r="227" ht="15.75" customHeight="1" s="25"/>
    <row r="228" ht="15.75" customHeight="1" s="25"/>
    <row r="229" ht="15.75" customHeight="1" s="25"/>
    <row r="230" ht="15.75" customHeight="1" s="25"/>
    <row r="231" ht="15.75" customHeight="1" s="25"/>
    <row r="232" ht="15.75" customHeight="1" s="25"/>
    <row r="233" ht="15.75" customHeight="1" s="25"/>
    <row r="234" ht="15.75" customHeight="1" s="25"/>
    <row r="235" ht="15.75" customHeight="1" s="25"/>
    <row r="236" ht="15.75" customHeight="1" s="25"/>
    <row r="237" ht="15.75" customHeight="1" s="25"/>
    <row r="238" ht="15.75" customHeight="1" s="25"/>
    <row r="239" ht="15.75" customHeight="1" s="25"/>
    <row r="240" ht="15.75" customHeight="1" s="25"/>
    <row r="241" ht="15.75" customHeight="1" s="25"/>
    <row r="242" ht="15.75" customHeight="1" s="25"/>
    <row r="243" ht="15.75" customHeight="1" s="25"/>
    <row r="244" ht="15.75" customHeight="1" s="25"/>
    <row r="245" ht="15.75" customHeight="1" s="25"/>
    <row r="246" ht="15.75" customHeight="1" s="25"/>
    <row r="247" ht="15.75" customHeight="1" s="25"/>
    <row r="248" ht="15.75" customHeight="1" s="25"/>
    <row r="249" ht="15.75" customHeight="1" s="25"/>
    <row r="250" ht="15.75" customHeight="1" s="25"/>
    <row r="251" ht="15.75" customHeight="1" s="25"/>
    <row r="252" ht="15.75" customHeight="1" s="25"/>
    <row r="253" ht="15.75" customHeight="1" s="25"/>
    <row r="254" ht="15.75" customHeight="1" s="25"/>
    <row r="255" ht="15.75" customHeight="1" s="25"/>
    <row r="256" ht="15.75" customHeight="1" s="25"/>
    <row r="257" ht="15.75" customHeight="1" s="25"/>
    <row r="258" ht="15.75" customHeight="1" s="25"/>
    <row r="259" ht="15.75" customHeight="1" s="25"/>
    <row r="260" ht="15.75" customHeight="1" s="25"/>
    <row r="261" ht="15.75" customHeight="1" s="25"/>
    <row r="262" ht="15.75" customHeight="1" s="25"/>
    <row r="263" ht="15.75" customHeight="1" s="25"/>
    <row r="264" ht="15.75" customHeight="1" s="25"/>
    <row r="265" ht="15.75" customHeight="1" s="25"/>
    <row r="266" ht="15.75" customHeight="1" s="25"/>
    <row r="267" ht="15.75" customHeight="1" s="25"/>
    <row r="268" ht="15.75" customHeight="1" s="25"/>
    <row r="269" ht="15.75" customHeight="1" s="25"/>
    <row r="270" ht="15.75" customHeight="1" s="25"/>
    <row r="271" ht="15.75" customHeight="1" s="25"/>
    <row r="272" ht="15.75" customHeight="1" s="25"/>
    <row r="273" ht="15.75" customHeight="1" s="25"/>
    <row r="274" ht="15.75" customHeight="1" s="25"/>
    <row r="275" ht="15.75" customHeight="1" s="25"/>
    <row r="276" ht="15.75" customHeight="1" s="25"/>
    <row r="277" ht="15.75" customHeight="1" s="25"/>
    <row r="278" ht="15.75" customHeight="1" s="25"/>
    <row r="279" ht="15.75" customHeight="1" s="25"/>
    <row r="280" ht="15.75" customHeight="1" s="25"/>
    <row r="281" ht="15.75" customHeight="1" s="25"/>
    <row r="282" ht="15.75" customHeight="1" s="25"/>
    <row r="283" ht="15.75" customHeight="1" s="25"/>
    <row r="284" ht="15.75" customHeight="1" s="25"/>
    <row r="285" ht="15.75" customHeight="1" s="25"/>
    <row r="286" ht="15.75" customHeight="1" s="25"/>
    <row r="287" ht="15.75" customHeight="1" s="25"/>
    <row r="288" ht="15.75" customHeight="1" s="25"/>
    <row r="289" ht="15.75" customHeight="1" s="25"/>
    <row r="290" ht="15.75" customHeight="1" s="25"/>
    <row r="291" ht="15.75" customHeight="1" s="25"/>
    <row r="292" ht="15.75" customHeight="1" s="25"/>
    <row r="293" ht="15.75" customHeight="1" s="25"/>
    <row r="294" ht="15.75" customHeight="1" s="25"/>
    <row r="295" ht="15.75" customHeight="1" s="25"/>
    <row r="296" ht="15.75" customHeight="1" s="25"/>
    <row r="297" ht="15.75" customHeight="1" s="25"/>
    <row r="298" ht="15.75" customHeight="1" s="25"/>
    <row r="299" ht="15.75" customHeight="1" s="25"/>
    <row r="300" ht="15.75" customHeight="1" s="25"/>
    <row r="301" ht="15.75" customHeight="1" s="25"/>
    <row r="302" ht="15.75" customHeight="1" s="25"/>
    <row r="303" ht="15.75" customHeight="1" s="25"/>
    <row r="304" ht="15.75" customHeight="1" s="25"/>
    <row r="305" ht="15.75" customHeight="1" s="25"/>
    <row r="306" ht="15.75" customHeight="1" s="25"/>
    <row r="307" ht="15.75" customHeight="1" s="25"/>
    <row r="308" ht="15.75" customHeight="1" s="25"/>
    <row r="309" ht="15.75" customHeight="1" s="25"/>
    <row r="310" ht="15.75" customHeight="1" s="25"/>
    <row r="311" ht="15.75" customHeight="1" s="25"/>
    <row r="312" ht="15.75" customHeight="1" s="25"/>
    <row r="313" ht="15.75" customHeight="1" s="25"/>
    <row r="314" ht="15.75" customHeight="1" s="25"/>
    <row r="315" ht="15.75" customHeight="1" s="25"/>
    <row r="316" ht="15.75" customHeight="1" s="25"/>
    <row r="317" ht="15.75" customHeight="1" s="25"/>
    <row r="318" ht="15.75" customHeight="1" s="25"/>
    <row r="319" ht="15.75" customHeight="1" s="25"/>
    <row r="320" ht="15.75" customHeight="1" s="25"/>
    <row r="321" ht="15.75" customHeight="1" s="25"/>
    <row r="322" ht="15.75" customHeight="1" s="25"/>
    <row r="323" ht="15.75" customHeight="1" s="25"/>
    <row r="324" ht="15.75" customHeight="1" s="25"/>
    <row r="325" ht="15.75" customHeight="1" s="25"/>
    <row r="326" ht="15.75" customHeight="1" s="25"/>
    <row r="327" ht="15.75" customHeight="1" s="25"/>
    <row r="328" ht="15.75" customHeight="1" s="25"/>
    <row r="329" ht="15.75" customHeight="1" s="25"/>
    <row r="330" ht="15.75" customHeight="1" s="25"/>
    <row r="331" ht="15.75" customHeight="1" s="25"/>
    <row r="332" ht="15.75" customHeight="1" s="25"/>
    <row r="333" ht="15.75" customHeight="1" s="25"/>
    <row r="334" ht="15.75" customHeight="1" s="25"/>
    <row r="335" ht="15.75" customHeight="1" s="25"/>
    <row r="336" ht="15.75" customHeight="1" s="25"/>
    <row r="337" ht="15.75" customHeight="1" s="25"/>
    <row r="338" ht="15.75" customHeight="1" s="25"/>
    <row r="339" ht="15.75" customHeight="1" s="25"/>
    <row r="340" ht="15.75" customHeight="1" s="25"/>
    <row r="341" ht="15.75" customHeight="1" s="25"/>
    <row r="342" ht="15.75" customHeight="1" s="25"/>
    <row r="343" ht="15.75" customHeight="1" s="25"/>
    <row r="344" ht="15.75" customHeight="1" s="25"/>
    <row r="345" ht="15.75" customHeight="1" s="25"/>
    <row r="346" ht="15.75" customHeight="1" s="25"/>
    <row r="347" ht="15.75" customHeight="1" s="25"/>
    <row r="348" ht="15.75" customHeight="1" s="25"/>
    <row r="349" ht="15.75" customHeight="1" s="25"/>
    <row r="350" ht="15.75" customHeight="1" s="25"/>
    <row r="351" ht="15.75" customHeight="1" s="25"/>
    <row r="352" ht="15.75" customHeight="1" s="25"/>
    <row r="353" ht="15.75" customHeight="1" s="25"/>
    <row r="354" ht="15.75" customHeight="1" s="25"/>
    <row r="355" ht="15.75" customHeight="1" s="25"/>
    <row r="356" ht="15.75" customHeight="1" s="25"/>
    <row r="357" ht="15.75" customHeight="1" s="25"/>
    <row r="358" ht="15.75" customHeight="1" s="25"/>
    <row r="359" ht="15.75" customHeight="1" s="25"/>
    <row r="360" ht="15.75" customHeight="1" s="25"/>
    <row r="361" ht="15.75" customHeight="1" s="25"/>
    <row r="362" ht="15.75" customHeight="1" s="25"/>
    <row r="363" ht="15.75" customHeight="1" s="25"/>
    <row r="364" ht="15.75" customHeight="1" s="25"/>
    <row r="365" ht="15.75" customHeight="1" s="25"/>
    <row r="366" ht="15.75" customHeight="1" s="25"/>
    <row r="367" ht="15.75" customHeight="1" s="25"/>
    <row r="368" ht="15.75" customHeight="1" s="25"/>
    <row r="369" ht="15.75" customHeight="1" s="25"/>
    <row r="370" ht="15.75" customHeight="1" s="25"/>
    <row r="371" ht="15.75" customHeight="1" s="25"/>
    <row r="372" ht="15.75" customHeight="1" s="25"/>
    <row r="373" ht="15.75" customHeight="1" s="25"/>
    <row r="374" ht="15.75" customHeight="1" s="25"/>
    <row r="375" ht="15.75" customHeight="1" s="25"/>
    <row r="376" ht="15.75" customHeight="1" s="25"/>
    <row r="377" ht="15.75" customHeight="1" s="25"/>
    <row r="378" ht="15.75" customHeight="1" s="25"/>
    <row r="379" ht="15.75" customHeight="1" s="25"/>
    <row r="380" ht="15.75" customHeight="1" s="25"/>
    <row r="381" ht="15.75" customHeight="1" s="25"/>
    <row r="382" ht="15.75" customHeight="1" s="25"/>
    <row r="383" ht="15.75" customHeight="1" s="25"/>
    <row r="384" ht="15.75" customHeight="1" s="25"/>
    <row r="385" ht="15.75" customHeight="1" s="25"/>
    <row r="386" ht="15.75" customHeight="1" s="25"/>
    <row r="387" ht="15.75" customHeight="1" s="25"/>
    <row r="388" ht="15.75" customHeight="1" s="25"/>
    <row r="389" ht="15.75" customHeight="1" s="25"/>
    <row r="390" ht="15.75" customHeight="1" s="25"/>
    <row r="391" ht="15.75" customHeight="1" s="25"/>
    <row r="392" ht="15.75" customHeight="1" s="25"/>
    <row r="393" ht="15.75" customHeight="1" s="25"/>
    <row r="394" ht="15.75" customHeight="1" s="25"/>
    <row r="395" ht="15.75" customHeight="1" s="25"/>
    <row r="396" ht="15.75" customHeight="1" s="25"/>
    <row r="397" ht="15.75" customHeight="1" s="25"/>
    <row r="398" ht="15.75" customHeight="1" s="25"/>
    <row r="399" ht="15.75" customHeight="1" s="25"/>
    <row r="400" ht="15.75" customHeight="1" s="25"/>
    <row r="401" ht="15.75" customHeight="1" s="25"/>
    <row r="402" ht="15.75" customHeight="1" s="25"/>
    <row r="403" ht="15.75" customHeight="1" s="25"/>
    <row r="404" ht="15.75" customHeight="1" s="25"/>
    <row r="405" ht="15.75" customHeight="1" s="25"/>
    <row r="406" ht="15.75" customHeight="1" s="25"/>
    <row r="407" ht="15.75" customHeight="1" s="25"/>
    <row r="408" ht="15.75" customHeight="1" s="25"/>
    <row r="409" ht="15.75" customHeight="1" s="25"/>
    <row r="410" ht="15.75" customHeight="1" s="25"/>
    <row r="411" ht="15.75" customHeight="1" s="25"/>
    <row r="412" ht="15.75" customHeight="1" s="25"/>
    <row r="413" ht="15.75" customHeight="1" s="25"/>
    <row r="414" ht="15.75" customHeight="1" s="25"/>
    <row r="415" ht="15.75" customHeight="1" s="25"/>
    <row r="416" ht="15.75" customHeight="1" s="25"/>
    <row r="417" ht="15.75" customHeight="1" s="25"/>
    <row r="418" ht="15.75" customHeight="1" s="25"/>
    <row r="419" ht="15.75" customHeight="1" s="25"/>
    <row r="420" ht="15.75" customHeight="1" s="25"/>
    <row r="421" ht="15.75" customHeight="1" s="25"/>
    <row r="422" ht="15.75" customHeight="1" s="25"/>
    <row r="423" ht="15.75" customHeight="1" s="25"/>
    <row r="424" ht="15.75" customHeight="1" s="25"/>
    <row r="425" ht="15.75" customHeight="1" s="25"/>
    <row r="426" ht="15.75" customHeight="1" s="25"/>
    <row r="427" ht="15.75" customHeight="1" s="25"/>
    <row r="428" ht="15.75" customHeight="1" s="25"/>
    <row r="429" ht="15.75" customHeight="1" s="25"/>
    <row r="430" ht="15.75" customHeight="1" s="25"/>
    <row r="431" ht="15.75" customHeight="1" s="25"/>
    <row r="432" ht="15.75" customHeight="1" s="25"/>
    <row r="433" ht="15.75" customHeight="1" s="25"/>
    <row r="434" ht="15.75" customHeight="1" s="25"/>
    <row r="435" ht="15.75" customHeight="1" s="25"/>
    <row r="436" ht="15.75" customHeight="1" s="25"/>
    <row r="437" ht="15.75" customHeight="1" s="25"/>
    <row r="438" ht="15.75" customHeight="1" s="25"/>
    <row r="439" ht="15.75" customHeight="1" s="25"/>
    <row r="440" ht="15.75" customHeight="1" s="25"/>
    <row r="441" ht="15.75" customHeight="1" s="25"/>
    <row r="442" ht="15.75" customHeight="1" s="25"/>
    <row r="443" ht="15.75" customHeight="1" s="25"/>
    <row r="444" ht="15.75" customHeight="1" s="25"/>
    <row r="445" ht="15.75" customHeight="1" s="25"/>
    <row r="446" ht="15.75" customHeight="1" s="25"/>
    <row r="447" ht="15.75" customHeight="1" s="25"/>
    <row r="448" ht="15.75" customHeight="1" s="25"/>
    <row r="449" ht="15.75" customHeight="1" s="25"/>
    <row r="450" ht="15.75" customHeight="1" s="25"/>
    <row r="451" ht="15.75" customHeight="1" s="25"/>
    <row r="452" ht="15.75" customHeight="1" s="25"/>
    <row r="453" ht="15.75" customHeight="1" s="25"/>
    <row r="454" ht="15.75" customHeight="1" s="25"/>
    <row r="455" ht="15.75" customHeight="1" s="25"/>
    <row r="456" ht="15.75" customHeight="1" s="25"/>
    <row r="457" ht="15.75" customHeight="1" s="25"/>
    <row r="458" ht="15.75" customHeight="1" s="25"/>
    <row r="459" ht="15.75" customHeight="1" s="25"/>
    <row r="460" ht="15.75" customHeight="1" s="25"/>
    <row r="461" ht="15.75" customHeight="1" s="25"/>
    <row r="462" ht="15.75" customHeight="1" s="25"/>
    <row r="463" ht="15.75" customHeight="1" s="25"/>
    <row r="464" ht="15.75" customHeight="1" s="25"/>
    <row r="465" ht="15.75" customHeight="1" s="25"/>
    <row r="466" ht="15.75" customHeight="1" s="25"/>
    <row r="467" ht="15.75" customHeight="1" s="25"/>
    <row r="468" ht="15.75" customHeight="1" s="25"/>
    <row r="469" ht="15.75" customHeight="1" s="25"/>
    <row r="470" ht="15.75" customHeight="1" s="25"/>
    <row r="471" ht="15.75" customHeight="1" s="25"/>
    <row r="472" ht="15.75" customHeight="1" s="25"/>
    <row r="473" ht="15.75" customHeight="1" s="25"/>
    <row r="474" ht="15.75" customHeight="1" s="25"/>
    <row r="475" ht="15.75" customHeight="1" s="25"/>
    <row r="476" ht="15.75" customHeight="1" s="25"/>
    <row r="477" ht="15.75" customHeight="1" s="25"/>
    <row r="478" ht="15.75" customHeight="1" s="25"/>
    <row r="479" ht="15.75" customHeight="1" s="25"/>
    <row r="480" ht="15.75" customHeight="1" s="25"/>
    <row r="481" ht="15.75" customHeight="1" s="25"/>
    <row r="482" ht="15.75" customHeight="1" s="25"/>
    <row r="483" ht="15.75" customHeight="1" s="25"/>
    <row r="484" ht="15.75" customHeight="1" s="25"/>
    <row r="485" ht="15.75" customHeight="1" s="25"/>
    <row r="486" ht="15.75" customHeight="1" s="25"/>
    <row r="487" ht="15.75" customHeight="1" s="25"/>
    <row r="488" ht="15.75" customHeight="1" s="25"/>
    <row r="489" ht="15.75" customHeight="1" s="25"/>
    <row r="490" ht="15.75" customHeight="1" s="25"/>
    <row r="491" ht="15.75" customHeight="1" s="25"/>
    <row r="492" ht="15.75" customHeight="1" s="25"/>
    <row r="493" ht="15.75" customHeight="1" s="25"/>
    <row r="494" ht="15.75" customHeight="1" s="25"/>
    <row r="495" ht="15.75" customHeight="1" s="25"/>
    <row r="496" ht="15.75" customHeight="1" s="25"/>
    <row r="497" ht="15.75" customHeight="1" s="25"/>
    <row r="498" ht="15.75" customHeight="1" s="25"/>
    <row r="499" ht="15.75" customHeight="1" s="25"/>
    <row r="500" ht="15.75" customHeight="1" s="25"/>
    <row r="501" ht="15.75" customHeight="1" s="25"/>
    <row r="502" ht="15.75" customHeight="1" s="25"/>
    <row r="503" ht="15.75" customHeight="1" s="25"/>
    <row r="504" ht="15.75" customHeight="1" s="25"/>
    <row r="505" ht="15.75" customHeight="1" s="25"/>
    <row r="506" ht="15.75" customHeight="1" s="25"/>
    <row r="507" ht="15.75" customHeight="1" s="25"/>
    <row r="508" ht="15.75" customHeight="1" s="25"/>
    <row r="509" ht="15.75" customHeight="1" s="25"/>
    <row r="510" ht="15.75" customHeight="1" s="25"/>
    <row r="511" ht="15.75" customHeight="1" s="25"/>
    <row r="512" ht="15.75" customHeight="1" s="25"/>
    <row r="513" ht="15.75" customHeight="1" s="25"/>
    <row r="514" ht="15.75" customHeight="1" s="25"/>
    <row r="515" ht="15.75" customHeight="1" s="25"/>
    <row r="516" ht="15.75" customHeight="1" s="25"/>
    <row r="517" ht="15.75" customHeight="1" s="25"/>
    <row r="518" ht="15.75" customHeight="1" s="25"/>
    <row r="519" ht="15.75" customHeight="1" s="25"/>
    <row r="520" ht="15.75" customHeight="1" s="25"/>
    <row r="521" ht="15.75" customHeight="1" s="25"/>
    <row r="522" ht="15.75" customHeight="1" s="25"/>
    <row r="523" ht="15.75" customHeight="1" s="25"/>
    <row r="524" ht="15.75" customHeight="1" s="25"/>
    <row r="525" ht="15.75" customHeight="1" s="25"/>
    <row r="526" ht="15.75" customHeight="1" s="25"/>
    <row r="527" ht="15.75" customHeight="1" s="25"/>
    <row r="528" ht="15.75" customHeight="1" s="25"/>
    <row r="529" ht="15.75" customHeight="1" s="25"/>
    <row r="530" ht="15.75" customHeight="1" s="25"/>
    <row r="531" ht="15.75" customHeight="1" s="25"/>
    <row r="532" ht="15.75" customHeight="1" s="25"/>
    <row r="533" ht="15.75" customHeight="1" s="25"/>
    <row r="534" ht="15.75" customHeight="1" s="25"/>
    <row r="535" ht="15.75" customHeight="1" s="25"/>
    <row r="536" ht="15.75" customHeight="1" s="25"/>
    <row r="537" ht="15.75" customHeight="1" s="25"/>
    <row r="538" ht="15.75" customHeight="1" s="25"/>
    <row r="539" ht="15.75" customHeight="1" s="25"/>
    <row r="540" ht="15.75" customHeight="1" s="25"/>
    <row r="541" ht="15.75" customHeight="1" s="25"/>
    <row r="542" ht="15.75" customHeight="1" s="25"/>
    <row r="543" ht="15.75" customHeight="1" s="25"/>
    <row r="544" ht="15.75" customHeight="1" s="25"/>
    <row r="545" ht="15.75" customHeight="1" s="25"/>
    <row r="546" ht="15.75" customHeight="1" s="25"/>
    <row r="547" ht="15.75" customHeight="1" s="25"/>
    <row r="548" ht="15.75" customHeight="1" s="25"/>
    <row r="549" ht="15.75" customHeight="1" s="25"/>
    <row r="550" ht="15.75" customHeight="1" s="25"/>
    <row r="551" ht="15.75" customHeight="1" s="25"/>
    <row r="552" ht="15.75" customHeight="1" s="25"/>
    <row r="553" ht="15.75" customHeight="1" s="25"/>
    <row r="554" ht="15.75" customHeight="1" s="25"/>
    <row r="555" ht="15.75" customHeight="1" s="25"/>
    <row r="556" ht="15.75" customHeight="1" s="25"/>
    <row r="557" ht="15.75" customHeight="1" s="25"/>
    <row r="558" ht="15.75" customHeight="1" s="25"/>
    <row r="559" ht="15.75" customHeight="1" s="25"/>
    <row r="560" ht="15.75" customHeight="1" s="25"/>
    <row r="561" ht="15.75" customHeight="1" s="25"/>
    <row r="562" ht="15.75" customHeight="1" s="25"/>
    <row r="563" ht="15.75" customHeight="1" s="25"/>
    <row r="564" ht="15.75" customHeight="1" s="25"/>
    <row r="565" ht="15.75" customHeight="1" s="25"/>
    <row r="566" ht="15.75" customHeight="1" s="25"/>
    <row r="567" ht="15.75" customHeight="1" s="25"/>
    <row r="568" ht="15.75" customHeight="1" s="25"/>
    <row r="569" ht="15.75" customHeight="1" s="25"/>
    <row r="570" ht="15.75" customHeight="1" s="25"/>
    <row r="571" ht="15.75" customHeight="1" s="25"/>
    <row r="572" ht="15.75" customHeight="1" s="25"/>
    <row r="573" ht="15.75" customHeight="1" s="25"/>
    <row r="574" ht="15.75" customHeight="1" s="25"/>
    <row r="575" ht="15.75" customHeight="1" s="25"/>
    <row r="576" ht="15.75" customHeight="1" s="25"/>
    <row r="577" ht="15.75" customHeight="1" s="25"/>
    <row r="578" ht="15.75" customHeight="1" s="25"/>
    <row r="579" ht="15.75" customHeight="1" s="25"/>
    <row r="580" ht="15.75" customHeight="1" s="25"/>
    <row r="581" ht="15.75" customHeight="1" s="25"/>
    <row r="582" ht="15.75" customHeight="1" s="25"/>
    <row r="583" ht="15.75" customHeight="1" s="25"/>
    <row r="584" ht="15.75" customHeight="1" s="25"/>
    <row r="585" ht="15.75" customHeight="1" s="25"/>
    <row r="586" ht="15.75" customHeight="1" s="25"/>
    <row r="587" ht="15.75" customHeight="1" s="25"/>
    <row r="588" ht="15.75" customHeight="1" s="25"/>
    <row r="589" ht="15.75" customHeight="1" s="25"/>
    <row r="590" ht="15.75" customHeight="1" s="25"/>
    <row r="591" ht="15.75" customHeight="1" s="25"/>
    <row r="592" ht="15.75" customHeight="1" s="25"/>
    <row r="593" ht="15.75" customHeight="1" s="25"/>
    <row r="594" ht="15.75" customHeight="1" s="25"/>
    <row r="595" ht="15.75" customHeight="1" s="25"/>
    <row r="596" ht="15.75" customHeight="1" s="25"/>
    <row r="597" ht="15.75" customHeight="1" s="25"/>
    <row r="598" ht="15.75" customHeight="1" s="25"/>
    <row r="599" ht="15.75" customHeight="1" s="25"/>
    <row r="600" ht="15.75" customHeight="1" s="25"/>
    <row r="601" ht="15.75" customHeight="1" s="25"/>
    <row r="602" ht="15.75" customHeight="1" s="25"/>
    <row r="603" ht="15.75" customHeight="1" s="25"/>
    <row r="604" ht="15.75" customHeight="1" s="25"/>
    <row r="605" ht="15.75" customHeight="1" s="25"/>
    <row r="606" ht="15.75" customHeight="1" s="25"/>
    <row r="607" ht="15.75" customHeight="1" s="25"/>
    <row r="608" ht="15.75" customHeight="1" s="25"/>
    <row r="609" ht="15.75" customHeight="1" s="25"/>
    <row r="610" ht="15.75" customHeight="1" s="25"/>
    <row r="611" ht="15.75" customHeight="1" s="25"/>
    <row r="612" ht="15.75" customHeight="1" s="25"/>
    <row r="613" ht="15.75" customHeight="1" s="25"/>
    <row r="614" ht="15.75" customHeight="1" s="25"/>
    <row r="615" ht="15.75" customHeight="1" s="25"/>
    <row r="616" ht="15.75" customHeight="1" s="25"/>
    <row r="617" ht="15.75" customHeight="1" s="25"/>
    <row r="618" ht="15.75" customHeight="1" s="25"/>
    <row r="619" ht="15.75" customHeight="1" s="25"/>
    <row r="620" ht="15.75" customHeight="1" s="25"/>
    <row r="621" ht="15.75" customHeight="1" s="25"/>
    <row r="622" ht="15.75" customHeight="1" s="25"/>
    <row r="623" ht="15.75" customHeight="1" s="25"/>
    <row r="624" ht="15.75" customHeight="1" s="25"/>
    <row r="625" ht="15.75" customHeight="1" s="25"/>
    <row r="626" ht="15.75" customHeight="1" s="25"/>
    <row r="627" ht="15.75" customHeight="1" s="25"/>
    <row r="628" ht="15.75" customHeight="1" s="25"/>
    <row r="629" ht="15.75" customHeight="1" s="25"/>
    <row r="630" ht="15.75" customHeight="1" s="25"/>
    <row r="631" ht="15.75" customHeight="1" s="25"/>
    <row r="632" ht="15.75" customHeight="1" s="25"/>
    <row r="633" ht="15.75" customHeight="1" s="25"/>
    <row r="634" ht="15.75" customHeight="1" s="25"/>
    <row r="635" ht="15.75" customHeight="1" s="25"/>
    <row r="636" ht="15.75" customHeight="1" s="25"/>
    <row r="637" ht="15.75" customHeight="1" s="25"/>
    <row r="638" ht="15.75" customHeight="1" s="25"/>
    <row r="639" ht="15.75" customHeight="1" s="25"/>
    <row r="640" ht="15.75" customHeight="1" s="25"/>
    <row r="641" ht="15.75" customHeight="1" s="25"/>
    <row r="642" ht="15.75" customHeight="1" s="25"/>
    <row r="643" ht="15.75" customHeight="1" s="25"/>
    <row r="644" ht="15.75" customHeight="1" s="25"/>
    <row r="645" ht="15.75" customHeight="1" s="25"/>
    <row r="646" ht="15.75" customHeight="1" s="25"/>
    <row r="647" ht="15.75" customHeight="1" s="25"/>
    <row r="648" ht="15.75" customHeight="1" s="25"/>
    <row r="649" ht="15.75" customHeight="1" s="25"/>
    <row r="650" ht="15.75" customHeight="1" s="25"/>
    <row r="651" ht="15.75" customHeight="1" s="25"/>
    <row r="652" ht="15.75" customHeight="1" s="25"/>
    <row r="653" ht="15.75" customHeight="1" s="25"/>
    <row r="654" ht="15.75" customHeight="1" s="25"/>
    <row r="655" ht="15.75" customHeight="1" s="25"/>
    <row r="656" ht="15.75" customHeight="1" s="25"/>
    <row r="657" ht="15.75" customHeight="1" s="25"/>
    <row r="658" ht="15.75" customHeight="1" s="25"/>
    <row r="659" ht="15.75" customHeight="1" s="25"/>
    <row r="660" ht="15.75" customHeight="1" s="25"/>
    <row r="661" ht="15.75" customHeight="1" s="25"/>
    <row r="662" ht="15.75" customHeight="1" s="25"/>
    <row r="663" ht="15.75" customHeight="1" s="25"/>
    <row r="664" ht="15.75" customHeight="1" s="25"/>
    <row r="665" ht="15.75" customHeight="1" s="25"/>
    <row r="666" ht="15.75" customHeight="1" s="25"/>
    <row r="667" ht="15.75" customHeight="1" s="25"/>
    <row r="668" ht="15.75" customHeight="1" s="25"/>
    <row r="669" ht="15.75" customHeight="1" s="25"/>
    <row r="670" ht="15.75" customHeight="1" s="25"/>
    <row r="671" ht="15.75" customHeight="1" s="25"/>
    <row r="672" ht="15.75" customHeight="1" s="25"/>
    <row r="673" ht="15.75" customHeight="1" s="25"/>
    <row r="674" ht="15.75" customHeight="1" s="25"/>
    <row r="675" ht="15.75" customHeight="1" s="25"/>
    <row r="676" ht="15.75" customHeight="1" s="25"/>
    <row r="677" ht="15.75" customHeight="1" s="25"/>
    <row r="678" ht="15.75" customHeight="1" s="25"/>
    <row r="679" ht="15.75" customHeight="1" s="25"/>
    <row r="680" ht="15.75" customHeight="1" s="25"/>
    <row r="681" ht="15.75" customHeight="1" s="25"/>
    <row r="682" ht="15.75" customHeight="1" s="25"/>
    <row r="683" ht="15.75" customHeight="1" s="25"/>
    <row r="684" ht="15.75" customHeight="1" s="25"/>
    <row r="685" ht="15.75" customHeight="1" s="25"/>
    <row r="686" ht="15.75" customHeight="1" s="25"/>
    <row r="687" ht="15.75" customHeight="1" s="25"/>
    <row r="688" ht="15.75" customHeight="1" s="25"/>
    <row r="689" ht="15.75" customHeight="1" s="25"/>
    <row r="690" ht="15.75" customHeight="1" s="25"/>
    <row r="691" ht="15.75" customHeight="1" s="25"/>
    <row r="692" ht="15.75" customHeight="1" s="25"/>
    <row r="693" ht="15.75" customHeight="1" s="25"/>
    <row r="694" ht="15.75" customHeight="1" s="25"/>
    <row r="695" ht="15.75" customHeight="1" s="25"/>
    <row r="696" ht="15.75" customHeight="1" s="25"/>
    <row r="697" ht="15.75" customHeight="1" s="25"/>
    <row r="698" ht="15.75" customHeight="1" s="25"/>
    <row r="699" ht="15.75" customHeight="1" s="25"/>
    <row r="700" ht="15.75" customHeight="1" s="25"/>
    <row r="701" ht="15.75" customHeight="1" s="25"/>
    <row r="702" ht="15.75" customHeight="1" s="25"/>
    <row r="703" ht="15.75" customHeight="1" s="25"/>
    <row r="704" ht="15.75" customHeight="1" s="25"/>
    <row r="705" ht="15.75" customHeight="1" s="25"/>
    <row r="706" ht="15.75" customHeight="1" s="25"/>
    <row r="707" ht="15.75" customHeight="1" s="25"/>
    <row r="708" ht="15.75" customHeight="1" s="25"/>
    <row r="709" ht="15.75" customHeight="1" s="25"/>
    <row r="710" ht="15.75" customHeight="1" s="25"/>
    <row r="711" ht="15.75" customHeight="1" s="25"/>
    <row r="712" ht="15.75" customHeight="1" s="25"/>
    <row r="713" ht="15.75" customHeight="1" s="25"/>
    <row r="714" ht="15.75" customHeight="1" s="25"/>
    <row r="715" ht="15.75" customHeight="1" s="25"/>
    <row r="716" ht="15.75" customHeight="1" s="25"/>
    <row r="717" ht="15.75" customHeight="1" s="25"/>
    <row r="718" ht="15.75" customHeight="1" s="25"/>
    <row r="719" ht="15.75" customHeight="1" s="25"/>
    <row r="720" ht="15.75" customHeight="1" s="25"/>
    <row r="721" ht="15.75" customHeight="1" s="25"/>
    <row r="722" ht="15.75" customHeight="1" s="25"/>
    <row r="723" ht="15.75" customHeight="1" s="25"/>
    <row r="724" ht="15.75" customHeight="1" s="25"/>
    <row r="725" ht="15.75" customHeight="1" s="25"/>
    <row r="726" ht="15.75" customHeight="1" s="25"/>
    <row r="727" ht="15.75" customHeight="1" s="25"/>
    <row r="728" ht="15.75" customHeight="1" s="25"/>
    <row r="729" ht="15.75" customHeight="1" s="25"/>
    <row r="730" ht="15.75" customHeight="1" s="25"/>
    <row r="731" ht="15.75" customHeight="1" s="25"/>
    <row r="732" ht="15.75" customHeight="1" s="25"/>
    <row r="733" ht="15.75" customHeight="1" s="25"/>
    <row r="734" ht="15.75" customHeight="1" s="25"/>
    <row r="735" ht="15.75" customHeight="1" s="25"/>
    <row r="736" ht="15.75" customHeight="1" s="25"/>
    <row r="737" ht="15.75" customHeight="1" s="25"/>
    <row r="738" ht="15.75" customHeight="1" s="25"/>
    <row r="739" ht="15.75" customHeight="1" s="25"/>
    <row r="740" ht="15.75" customHeight="1" s="25"/>
    <row r="741" ht="15.75" customHeight="1" s="25"/>
    <row r="742" ht="15.75" customHeight="1" s="25"/>
    <row r="743" ht="15.75" customHeight="1" s="25"/>
    <row r="744" ht="15.75" customHeight="1" s="25"/>
    <row r="745" ht="15.75" customHeight="1" s="25"/>
    <row r="746" ht="15.75" customHeight="1" s="25"/>
    <row r="747" ht="15.75" customHeight="1" s="25"/>
    <row r="748" ht="15.75" customHeight="1" s="25"/>
    <row r="749" ht="15.75" customHeight="1" s="25"/>
    <row r="750" ht="15.75" customHeight="1" s="25"/>
    <row r="751" ht="15.75" customHeight="1" s="25"/>
    <row r="752" ht="15.75" customHeight="1" s="25"/>
    <row r="753" ht="15.75" customHeight="1" s="25"/>
    <row r="754" ht="15.75" customHeight="1" s="25"/>
    <row r="755" ht="15.75" customHeight="1" s="25"/>
    <row r="756" ht="15.75" customHeight="1" s="25"/>
    <row r="757" ht="15.75" customHeight="1" s="25"/>
    <row r="758" ht="15.75" customHeight="1" s="25"/>
    <row r="759" ht="15.75" customHeight="1" s="25"/>
    <row r="760" ht="15.75" customHeight="1" s="25"/>
    <row r="761" ht="15.75" customHeight="1" s="25"/>
    <row r="762" ht="15.75" customHeight="1" s="25"/>
    <row r="763" ht="15.75" customHeight="1" s="25"/>
    <row r="764" ht="15.75" customHeight="1" s="25"/>
    <row r="765" ht="15.75" customHeight="1" s="25"/>
    <row r="766" ht="15.75" customHeight="1" s="25"/>
    <row r="767" ht="15.75" customHeight="1" s="25"/>
    <row r="768" ht="15.75" customHeight="1" s="25"/>
    <row r="769" ht="15.75" customHeight="1" s="25"/>
    <row r="770" ht="15.75" customHeight="1" s="25"/>
    <row r="771" ht="15.75" customHeight="1" s="25"/>
    <row r="772" ht="15.75" customHeight="1" s="25"/>
    <row r="773" ht="15.75" customHeight="1" s="25"/>
    <row r="774" ht="15.75" customHeight="1" s="25"/>
    <row r="775" ht="15.75" customHeight="1" s="25"/>
    <row r="776" ht="15.75" customHeight="1" s="25"/>
    <row r="777" ht="15.75" customHeight="1" s="25"/>
    <row r="778" ht="15.75" customHeight="1" s="25"/>
    <row r="779" ht="15.75" customHeight="1" s="25"/>
    <row r="780" ht="15.75" customHeight="1" s="25"/>
    <row r="781" ht="15.75" customHeight="1" s="25"/>
    <row r="782" ht="15.75" customHeight="1" s="25"/>
    <row r="783" ht="15.75" customHeight="1" s="25"/>
    <row r="784" ht="15.75" customHeight="1" s="25"/>
    <row r="785" ht="15.75" customHeight="1" s="25"/>
    <row r="786" ht="15.75" customHeight="1" s="25"/>
    <row r="787" ht="15.75" customHeight="1" s="25"/>
    <row r="788" ht="15.75" customHeight="1" s="25"/>
    <row r="789" ht="15.75" customHeight="1" s="25"/>
    <row r="790" ht="15.75" customHeight="1" s="25"/>
    <row r="791" ht="15.75" customHeight="1" s="25"/>
    <row r="792" ht="15.75" customHeight="1" s="25"/>
    <row r="793" ht="15.75" customHeight="1" s="25"/>
    <row r="794" ht="15.75" customHeight="1" s="25"/>
    <row r="795" ht="15.75" customHeight="1" s="25"/>
    <row r="796" ht="15.75" customHeight="1" s="25"/>
    <row r="797" ht="15.75" customHeight="1" s="25"/>
    <row r="798" ht="15.75" customHeight="1" s="25"/>
    <row r="799" ht="15.75" customHeight="1" s="25"/>
    <row r="800" ht="15.75" customHeight="1" s="25"/>
    <row r="801" ht="15.75" customHeight="1" s="25"/>
    <row r="802" ht="15.75" customHeight="1" s="25"/>
    <row r="803" ht="15.75" customHeight="1" s="25"/>
    <row r="804" ht="15.75" customHeight="1" s="25"/>
    <row r="805" ht="15.75" customHeight="1" s="25"/>
    <row r="806" ht="15.75" customHeight="1" s="25"/>
    <row r="807" ht="15.75" customHeight="1" s="25"/>
    <row r="808" ht="15.75" customHeight="1" s="25"/>
    <row r="809" ht="15.75" customHeight="1" s="25"/>
    <row r="810" ht="15.75" customHeight="1" s="25"/>
    <row r="811" ht="15.75" customHeight="1" s="25"/>
    <row r="812" ht="15.75" customHeight="1" s="25"/>
    <row r="813" ht="15.75" customHeight="1" s="25"/>
    <row r="814" ht="15.75" customHeight="1" s="25"/>
    <row r="815" ht="15.75" customHeight="1" s="25"/>
    <row r="816" ht="15.75" customHeight="1" s="25"/>
    <row r="817" ht="15.75" customHeight="1" s="25"/>
    <row r="818" ht="15.75" customHeight="1" s="25"/>
    <row r="819" ht="15.75" customHeight="1" s="25"/>
    <row r="820" ht="15.75" customHeight="1" s="25"/>
    <row r="821" ht="15.75" customHeight="1" s="25"/>
    <row r="822" ht="15.75" customHeight="1" s="25"/>
    <row r="823" ht="15.75" customHeight="1" s="25"/>
    <row r="824" ht="15.75" customHeight="1" s="25"/>
    <row r="825" ht="15.75" customHeight="1" s="25"/>
    <row r="826" ht="15.75" customHeight="1" s="25"/>
    <row r="827" ht="15.75" customHeight="1" s="25"/>
    <row r="828" ht="15.75" customHeight="1" s="25"/>
    <row r="829" ht="15.75" customHeight="1" s="25"/>
    <row r="830" ht="15.75" customHeight="1" s="25"/>
    <row r="831" ht="15.75" customHeight="1" s="25"/>
    <row r="832" ht="15.75" customHeight="1" s="25"/>
    <row r="833" ht="15.75" customHeight="1" s="25"/>
    <row r="834" ht="15.75" customHeight="1" s="25"/>
    <row r="835" ht="15.75" customHeight="1" s="25"/>
    <row r="836" ht="15.75" customHeight="1" s="25"/>
    <row r="837" ht="15.75" customHeight="1" s="25"/>
    <row r="838" ht="15.75" customHeight="1" s="25"/>
    <row r="839" ht="15.75" customHeight="1" s="25"/>
    <row r="840" ht="15.75" customHeight="1" s="25"/>
    <row r="841" ht="15.75" customHeight="1" s="25"/>
    <row r="842" ht="15.75" customHeight="1" s="25"/>
    <row r="843" ht="15.75" customHeight="1" s="25"/>
    <row r="844" ht="15.75" customHeight="1" s="25"/>
    <row r="845" ht="15.75" customHeight="1" s="25"/>
    <row r="846" ht="15.75" customHeight="1" s="25"/>
    <row r="847" ht="15.75" customHeight="1" s="25"/>
    <row r="848" ht="15.75" customHeight="1" s="25"/>
    <row r="849" ht="15.75" customHeight="1" s="25"/>
    <row r="850" ht="15.75" customHeight="1" s="25"/>
    <row r="851" ht="15.75" customHeight="1" s="25"/>
    <row r="852" ht="15.75" customHeight="1" s="25"/>
    <row r="853" ht="15.75" customHeight="1" s="25"/>
    <row r="854" ht="15.75" customHeight="1" s="25"/>
    <row r="855" ht="15.75" customHeight="1" s="25"/>
    <row r="856" ht="15.75" customHeight="1" s="25"/>
    <row r="857" ht="15.75" customHeight="1" s="25"/>
    <row r="858" ht="15.75" customHeight="1" s="25"/>
    <row r="859" ht="15.75" customHeight="1" s="25"/>
    <row r="860" ht="15.75" customHeight="1" s="25"/>
    <row r="861" ht="15.75" customHeight="1" s="25"/>
    <row r="862" ht="15.75" customHeight="1" s="25"/>
    <row r="863" ht="15.75" customHeight="1" s="25"/>
    <row r="864" ht="15.75" customHeight="1" s="25"/>
    <row r="865" ht="15.75" customHeight="1" s="25"/>
    <row r="866" ht="15.75" customHeight="1" s="25"/>
    <row r="867" ht="15.75" customHeight="1" s="25"/>
    <row r="868" ht="15.75" customHeight="1" s="25"/>
    <row r="869" ht="15.75" customHeight="1" s="25"/>
    <row r="870" ht="15.75" customHeight="1" s="25"/>
    <row r="871" ht="15.75" customHeight="1" s="25"/>
    <row r="872" ht="15.75" customHeight="1" s="25"/>
    <row r="873" ht="15.75" customHeight="1" s="25"/>
    <row r="874" ht="15.75" customHeight="1" s="25"/>
    <row r="875" ht="15.75" customHeight="1" s="25"/>
    <row r="876" ht="15.75" customHeight="1" s="25"/>
    <row r="877" ht="15.75" customHeight="1" s="25"/>
    <row r="878" ht="15.75" customHeight="1" s="25"/>
    <row r="879" ht="15.75" customHeight="1" s="25"/>
    <row r="880" ht="15.75" customHeight="1" s="25"/>
    <row r="881" ht="15.75" customHeight="1" s="25"/>
    <row r="882" ht="15.75" customHeight="1" s="25"/>
    <row r="883" ht="15.75" customHeight="1" s="25"/>
    <row r="884" ht="15.75" customHeight="1" s="25"/>
    <row r="885" ht="15.75" customHeight="1" s="25"/>
    <row r="886" ht="15.75" customHeight="1" s="25"/>
    <row r="887" ht="15.75" customHeight="1" s="25"/>
    <row r="888" ht="15.75" customHeight="1" s="25"/>
    <row r="889" ht="15.75" customHeight="1" s="25"/>
    <row r="890" ht="15.75" customHeight="1" s="25"/>
    <row r="891" ht="15.75" customHeight="1" s="25"/>
    <row r="892" ht="15.75" customHeight="1" s="25"/>
    <row r="893" ht="15.75" customHeight="1" s="25"/>
    <row r="894" ht="15.75" customHeight="1" s="25"/>
    <row r="895" ht="15.75" customHeight="1" s="25"/>
    <row r="896" ht="15.75" customHeight="1" s="25"/>
    <row r="897" ht="15.75" customHeight="1" s="25"/>
    <row r="898" ht="15.75" customHeight="1" s="25"/>
    <row r="899" ht="15.75" customHeight="1" s="25"/>
    <row r="900" ht="15.75" customHeight="1" s="25"/>
    <row r="901" ht="15.75" customHeight="1" s="25"/>
    <row r="902" ht="15.75" customHeight="1" s="25"/>
    <row r="903" ht="15.75" customHeight="1" s="25"/>
    <row r="904" ht="15.75" customHeight="1" s="25"/>
    <row r="905" ht="15.75" customHeight="1" s="25"/>
    <row r="906" ht="15.75" customHeight="1" s="25"/>
    <row r="907" ht="15.75" customHeight="1" s="25"/>
    <row r="908" ht="15.75" customHeight="1" s="25"/>
    <row r="909" ht="15.75" customHeight="1" s="25"/>
    <row r="910" ht="15.75" customHeight="1" s="25"/>
    <row r="911" ht="15.75" customHeight="1" s="25"/>
    <row r="912" ht="15.75" customHeight="1" s="25"/>
    <row r="913" ht="15.75" customHeight="1" s="25"/>
    <row r="914" ht="15.75" customHeight="1" s="25"/>
    <row r="915" ht="15.75" customHeight="1" s="25"/>
    <row r="916" ht="15.75" customHeight="1" s="25"/>
    <row r="917" ht="15.75" customHeight="1" s="25"/>
    <row r="918" ht="15.75" customHeight="1" s="25"/>
    <row r="919" ht="15.75" customHeight="1" s="25"/>
    <row r="920" ht="15.75" customHeight="1" s="25"/>
    <row r="921" ht="15.75" customHeight="1" s="25"/>
    <row r="922" ht="15.75" customHeight="1" s="25"/>
    <row r="923" ht="15.75" customHeight="1" s="25"/>
    <row r="924" ht="15.75" customHeight="1" s="25"/>
    <row r="925" ht="15.75" customHeight="1" s="25"/>
    <row r="926" ht="15.75" customHeight="1" s="25"/>
    <row r="927" ht="15.75" customHeight="1" s="25"/>
    <row r="928" ht="15.75" customHeight="1" s="25"/>
    <row r="929" ht="15.75" customHeight="1" s="25"/>
    <row r="930" ht="15.75" customHeight="1" s="25"/>
    <row r="931" ht="15.75" customHeight="1" s="25"/>
    <row r="932" ht="15.75" customHeight="1" s="25"/>
    <row r="933" ht="15.75" customHeight="1" s="25"/>
    <row r="934" ht="15.75" customHeight="1" s="25"/>
    <row r="935" ht="15.75" customHeight="1" s="25"/>
    <row r="936" ht="15.75" customHeight="1" s="25"/>
    <row r="937" ht="15.75" customHeight="1" s="25"/>
    <row r="938" ht="15.75" customHeight="1" s="25"/>
    <row r="939" ht="15.75" customHeight="1" s="25"/>
    <row r="940" ht="15.75" customHeight="1" s="25"/>
    <row r="941" ht="15.75" customHeight="1" s="25"/>
    <row r="942" ht="15.75" customHeight="1" s="25"/>
    <row r="943" ht="15.75" customHeight="1" s="25"/>
    <row r="944" ht="15.75" customHeight="1" s="25"/>
    <row r="945" ht="15.75" customHeight="1" s="25"/>
    <row r="946" ht="15.75" customHeight="1" s="25"/>
    <row r="947" ht="15.75" customHeight="1" s="25"/>
    <row r="948" ht="15.75" customHeight="1" s="25"/>
    <row r="949" ht="15.75" customHeight="1" s="25"/>
    <row r="950" ht="15.75" customHeight="1" s="25"/>
    <row r="951" ht="15.75" customHeight="1" s="25"/>
    <row r="952" ht="15.75" customHeight="1" s="25"/>
    <row r="953" ht="15.75" customHeight="1" s="25"/>
    <row r="954" ht="15.75" customHeight="1" s="25"/>
    <row r="955" ht="15.75" customHeight="1" s="25"/>
    <row r="956" ht="15.75" customHeight="1" s="25"/>
    <row r="957" ht="15.75" customHeight="1" s="25"/>
    <row r="958" ht="15.75" customHeight="1" s="25"/>
    <row r="959" ht="15.75" customHeight="1" s="25"/>
    <row r="960" ht="15.75" customHeight="1" s="25"/>
    <row r="961" ht="15.75" customHeight="1" s="25"/>
    <row r="962" ht="15.75" customHeight="1" s="25"/>
    <row r="963" ht="15.75" customHeight="1" s="25"/>
    <row r="964" ht="15.75" customHeight="1" s="25"/>
    <row r="965" ht="15.75" customHeight="1" s="25"/>
    <row r="966" ht="15.75" customHeight="1" s="25"/>
    <row r="967" ht="15.75" customHeight="1" s="25"/>
    <row r="968" ht="15.75" customHeight="1" s="25"/>
    <row r="969" ht="15.75" customHeight="1" s="25"/>
    <row r="970" ht="15.75" customHeight="1" s="25"/>
    <row r="971" ht="15.75" customHeight="1" s="25"/>
    <row r="972" ht="15.75" customHeight="1" s="25"/>
    <row r="973" ht="15.75" customHeight="1" s="25"/>
    <row r="974" ht="15.75" customHeight="1" s="25"/>
    <row r="975" ht="15.75" customHeight="1" s="25"/>
    <row r="976" ht="15.75" customHeight="1" s="25"/>
    <row r="977" ht="15.75" customHeight="1" s="25"/>
    <row r="978" ht="15.75" customHeight="1" s="25"/>
    <row r="979" ht="15.75" customHeight="1" s="25"/>
    <row r="980" ht="15.75" customHeight="1" s="25"/>
    <row r="981" ht="15.75" customHeight="1" s="25"/>
    <row r="982" ht="15.75" customHeight="1" s="25"/>
    <row r="983" ht="15.75" customHeight="1" s="25"/>
    <row r="984" ht="15.75" customHeight="1" s="25"/>
    <row r="985" ht="15.75" customHeight="1" s="25"/>
    <row r="986" ht="15.75" customHeight="1" s="25"/>
    <row r="987" ht="15.75" customHeight="1" s="25"/>
    <row r="988" ht="15.75" customHeight="1" s="25"/>
    <row r="989" ht="15.75" customHeight="1" s="25"/>
    <row r="990" ht="15.75" customHeight="1" s="25"/>
    <row r="991" ht="15.75" customHeight="1" s="25"/>
    <row r="992" ht="15.75" customHeight="1" s="25"/>
    <row r="993" ht="15.75" customHeight="1" s="25"/>
    <row r="994" ht="15.75" customHeight="1" s="25"/>
    <row r="995" ht="15.75" customHeight="1" s="25"/>
    <row r="996" ht="15.75" customHeight="1" s="25"/>
    <row r="997" ht="15.75" customHeight="1" s="25"/>
    <row r="998" ht="15.75" customHeight="1" s="25"/>
    <row r="999" ht="15.75" customHeight="1" s="25"/>
    <row r="1000" ht="15.75" customHeight="1" s="25"/>
  </sheetData>
  <autoFilter ref="A4:N90"/>
  <mergeCells count="2">
    <mergeCell ref="A2:N2"/>
    <mergeCell ref="A1:N1"/>
  </mergeCells>
  <conditionalFormatting sqref="A5:N90">
    <cfRule type="expression" rank="0" priority="2" equalAverage="0" aboveAverage="0" dxfId="7" text="" percent="0" bottom="0">
      <formula>$H5="Built"</formula>
    </cfRule>
    <cfRule type="expression" rank="0" priority="3" equalAverage="0" aboveAverage="0" dxfId="8" text="" percent="0" bottom="0">
      <formula>$H5="Verify"</formula>
    </cfRule>
    <cfRule type="expression" rank="0" priority="4" equalAverage="0" aboveAverage="0" dxfId="9" text="" percent="0" bottom="0">
      <formula>$H5="To build"</formula>
    </cfRule>
    <cfRule type="expression" rank="0" priority="5" equalAverage="0" aboveAverage="0" dxfId="10" text="" percent="0" bottom="0">
      <formula>$H5="Deferred"</formula>
    </cfRule>
    <cfRule type="expression" rank="0" priority="6" equalAverage="0" aboveAverage="0" dxfId="10" text="" percent="0" bottom="0">
      <formula>$H5="Closed"</formula>
    </cfRule>
  </conditionalFormatting>
  <dataValidations count="1">
    <dataValidation sqref="H5:H90" showDropDown="0" showInputMessage="0" showErrorMessage="0" allowBlank="1" type="list" errorStyle="stop" operator="between">
      <formula1>"Built,Verify,To build,Deferred,Closed"</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J16"/>
  <sheetViews>
    <sheetView showFormulas="0" showGridLines="1" showRowColHeaders="1" showZeros="1" rightToLeft="0"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C5" activeCellId="0" sqref="C5"/>
    </sheetView>
  </sheetViews>
  <sheetFormatPr baseColWidth="8" defaultColWidth="14.43359375" defaultRowHeight="15" zeroHeight="0" outlineLevelRow="0"/>
  <cols>
    <col width="6" customWidth="1" style="24" min="1" max="1"/>
    <col width="28" customWidth="1" style="24" min="2" max="2"/>
    <col width="10" customWidth="1" style="24" min="3" max="3"/>
    <col width="18" customWidth="1" style="24" min="4" max="4"/>
    <col width="10" customWidth="1" style="24" min="5" max="5"/>
    <col width="12" customWidth="1" style="24" min="6" max="6"/>
    <col width="60" customWidth="1" style="24" min="7" max="7"/>
    <col width="40" customWidth="1" style="24" min="8" max="8"/>
    <col width="14" customWidth="1" style="24" min="9" max="9"/>
    <col width="42" customWidth="1" style="24" min="10" max="10"/>
    <col width="8.710000000000001" customWidth="1" style="24" min="11" max="26"/>
  </cols>
  <sheetData>
    <row r="1" ht="25.5" customHeight="1" s="25">
      <c r="A1" s="26" t="inlineStr">
        <is>
          <t>Data model changes</t>
        </is>
      </c>
    </row>
    <row r="2" ht="30" customHeight="1" s="25">
      <c r="A2" s="29" t="inlineStr">
        <is>
          <t>Changes to the database itself rather than to an event.</t>
        </is>
      </c>
    </row>
    <row r="3" ht="15" customHeight="1" s="25"/>
    <row r="4" ht="30" customHeight="1" s="25">
      <c r="A4" s="43" t="inlineStr">
        <is>
          <t>ID</t>
        </is>
      </c>
      <c r="B4" s="43" t="inlineStr">
        <is>
          <t>Item</t>
        </is>
      </c>
      <c r="C4" s="43" t="inlineStr">
        <is>
          <t>Priority</t>
        </is>
      </c>
      <c r="D4" s="43" t="inlineStr">
        <is>
          <t>Owner</t>
        </is>
      </c>
      <c r="E4" s="43" t="inlineStr">
        <is>
          <t>Status</t>
        </is>
      </c>
      <c r="F4" s="43" t="inlineStr">
        <is>
          <t>Built on / due by</t>
        </is>
      </c>
      <c r="G4" s="43" t="inlineStr">
        <is>
          <t>What is needed</t>
        </is>
      </c>
      <c r="H4" s="43" t="inlineStr">
        <is>
          <t>Consequence if not done</t>
        </is>
      </c>
      <c r="I4" s="43" t="inlineStr">
        <is>
          <t>Decided in</t>
        </is>
      </c>
      <c r="J4" s="43" t="inlineStr">
        <is>
          <t>Note</t>
        </is>
      </c>
    </row>
    <row r="5" ht="63.75" customHeight="1" s="25">
      <c r="A5" s="44" t="inlineStr">
        <is>
          <t>D1</t>
        </is>
      </c>
      <c r="B5" s="45" t="inlineStr">
        <is>
          <t>Return capture on the order</t>
        </is>
      </c>
      <c r="C5" s="45" t="inlineStr">
        <is>
          <t>Blocking</t>
        </is>
      </c>
      <c r="D5" s="45" t="inlineStr">
        <is>
          <t>Aravinth</t>
        </is>
      </c>
      <c r="E5" s="45" t="inlineStr">
        <is>
          <t>Verify</t>
        </is>
      </c>
      <c r="F5" s="46" t="n"/>
      <c r="G5" s="45" t="inlineStr">
        <is>
          <t>Nothing to build. A return is order_status Returned, set by the seller, with return_info.returned_at. A buyer's request is a returnrequests record (F81), open while isActive is true. There is no Return Requested status.</t>
        </is>
      </c>
      <c r="H5" s="45" t="inlineStr">
        <is>
          <t>A returned order looks like a successful one, and every commerce label counts returns as sales.</t>
        </is>
      </c>
      <c r="I5" s="45" t="inlineStr">
        <is>
          <t>D1</t>
        </is>
      </c>
      <c r="J5" s="45" t="inlineStr">
        <is>
          <t>14 Oct 2026: Confirmed on the platform database (order 6a9fac747498f914bd4a50c8). Build list DB-03, APP-10, ENG-30.
28 Sep 2026: Changed to the platform's return_info structure. Build list DB-03, APP-10.</t>
        </is>
      </c>
    </row>
    <row r="6" ht="15" customHeight="1" s="25">
      <c r="A6" s="44" t="inlineStr">
        <is>
          <t>D2</t>
        </is>
      </c>
      <c r="B6" s="45" t="inlineStr">
        <is>
          <t>One canonical order status</t>
        </is>
      </c>
      <c r="C6" s="45" t="inlineStr">
        <is>
          <t>Blocking</t>
        </is>
      </c>
      <c r="D6" s="45" t="inlineStr">
        <is>
          <t>Aravinth</t>
        </is>
      </c>
      <c r="E6" s="45" t="inlineStr">
        <is>
          <t>Closed</t>
        </is>
      </c>
      <c r="F6" s="45" t="n"/>
      <c r="G6" s="45" t="inlineStr">
        <is>
          <t>order_status is authoritative. The only remaining action is X-13.</t>
        </is>
      </c>
      <c r="H6" s="45" t="inlineStr">
        <is>
          <t>No agreed definition of a successful order.</t>
        </is>
      </c>
      <c r="I6" s="45" t="inlineStr">
        <is>
          <t>D2, X-13</t>
        </is>
      </c>
      <c r="J6" s="45" t="inlineStr">
        <is>
          <t>The remaining action is APP-09.</t>
        </is>
      </c>
    </row>
    <row r="7" ht="25.5" customHeight="1" s="25">
      <c r="A7" s="44" t="inlineStr">
        <is>
          <t>D3</t>
        </is>
      </c>
      <c r="B7" s="45" t="inlineStr">
        <is>
          <t>Shared checkout identifier</t>
        </is>
      </c>
      <c r="C7" s="45" t="inlineStr">
        <is>
          <t>Blocking</t>
        </is>
      </c>
      <c r="D7" s="45" t="inlineStr">
        <is>
          <t>Aravinth</t>
        </is>
      </c>
      <c r="E7" s="45" t="inlineStr">
        <is>
          <t>Verify</t>
        </is>
      </c>
      <c r="F7" s="46" t="n"/>
      <c r="G7" s="45" t="inlineStr">
        <is>
          <t>checkout_id on every order from one checkout. Verified as F59.</t>
        </is>
      </c>
      <c r="H7" s="45" t="inlineStr">
        <is>
          <t>Items bought together cannot be identified, so the co-purchase method cannot be built.</t>
        </is>
      </c>
      <c r="I7" s="45" t="inlineStr">
        <is>
          <t>D3, F59</t>
        </is>
      </c>
      <c r="J7" s="45" t="inlineStr">
        <is>
          <t>Basket-of-three check still to run.</t>
        </is>
      </c>
    </row>
    <row r="8" ht="15" customHeight="1" s="25">
      <c r="A8" s="44" t="inlineStr">
        <is>
          <t>D4</t>
        </is>
      </c>
      <c r="B8" s="45" t="inlineStr">
        <is>
          <t>Campaign entity</t>
        </is>
      </c>
      <c r="C8" s="45" t="inlineStr">
        <is>
          <t>Blocking</t>
        </is>
      </c>
      <c r="D8" s="45" t="inlineStr">
        <is>
          <t>Aravinth</t>
        </is>
      </c>
      <c r="E8" s="45" t="inlineStr">
        <is>
          <t>Deferred</t>
        </is>
      </c>
      <c r="F8" s="45" t="n"/>
      <c r="G8" s="45" t="inlineStr">
        <is>
          <t>Deferred with Engine C.</t>
        </is>
      </c>
      <c r="H8" s="45" t="inlineStr">
        <is>
          <t>Campaigns cannot be measured or attributed.</t>
        </is>
      </c>
      <c r="I8" s="45" t="inlineStr">
        <is>
          <t>D4</t>
        </is>
      </c>
      <c r="J8" s="45" t="inlineStr">
        <is>
          <t>14 Oct 2026: A collaboration (one store, one creator) is not a campaign. D4 stays Deferred.</t>
        </is>
      </c>
    </row>
    <row r="9" ht="25.5" customHeight="1" s="25">
      <c r="A9" s="44" t="inlineStr">
        <is>
          <t>D5</t>
        </is>
      </c>
      <c r="B9" s="45" t="inlineStr">
        <is>
          <t>Promoter and influencer as account states</t>
        </is>
      </c>
      <c r="C9" s="45" t="inlineStr">
        <is>
          <t>Important</t>
        </is>
      </c>
      <c r="D9" s="45" t="inlineStr">
        <is>
          <t>Aravinth</t>
        </is>
      </c>
      <c r="E9" s="45" t="inlineStr">
        <is>
          <t>Closed</t>
        </is>
      </c>
      <c r="F9" s="45" t="n"/>
      <c r="G9" s="45" t="inlineStr">
        <is>
          <t>Not needed. Promoter stays a continuum: the engine keeps the score and its history. The platform now keeps a verified-influencer badge (users.influencerVerification: verified or revoked, with dates); no Wave 1A model reads it (X-22).</t>
        </is>
      </c>
      <c r="H9" s="45" t="inlineStr">
        <is>
          <t>—</t>
        </is>
      </c>
      <c r="I9" s="45" t="inlineStr">
        <is>
          <t>D5</t>
        </is>
      </c>
      <c r="J9" s="45" t="inlineStr">
        <is>
          <t>Not needed: the promoter score is a continuum.</t>
        </is>
      </c>
    </row>
    <row r="10" ht="25.5" customHeight="1" s="25">
      <c r="A10" s="44" t="inlineStr">
        <is>
          <t>D6</t>
        </is>
      </c>
      <c r="B10" s="45" t="inlineStr">
        <is>
          <t>Timestamped social interactions</t>
        </is>
      </c>
      <c r="C10" s="45" t="inlineStr">
        <is>
          <t>Important</t>
        </is>
      </c>
      <c r="D10" s="45" t="inlineStr">
        <is>
          <t>Aravinth</t>
        </is>
      </c>
      <c r="E10" s="45" t="inlineStr">
        <is>
          <t>Closed</t>
        </is>
      </c>
      <c r="F10" s="45" t="n"/>
      <c r="G10" s="45" t="inlineStr">
        <is>
          <t>Closed by E9: each interaction is its own timestamped event. Counters on posts stay as they are.</t>
        </is>
      </c>
      <c r="H10" s="45" t="inlineStr">
        <is>
          <t>—</t>
        </is>
      </c>
      <c r="I10" s="45" t="inlineStr">
        <is>
          <t>D6, E9</t>
        </is>
      </c>
      <c r="J10" s="45" t="n"/>
    </row>
    <row r="11" ht="25.5" customHeight="1" s="25">
      <c r="A11" s="44" t="inlineStr">
        <is>
          <t>D7</t>
        </is>
      </c>
      <c r="B11" s="45" t="inlineStr">
        <is>
          <t>Stable identifiers</t>
        </is>
      </c>
      <c r="C11" s="45" t="inlineStr">
        <is>
          <t>Important</t>
        </is>
      </c>
      <c r="D11" s="45" t="inlineStr">
        <is>
          <t>Aravinth</t>
        </is>
      </c>
      <c r="E11" s="45" t="inlineStr">
        <is>
          <t>Closed</t>
        </is>
      </c>
      <c r="F11" s="45" t="n"/>
      <c r="G11" s="45" t="inlineStr">
        <is>
          <t>MongoDB ids are never reused.</t>
        </is>
      </c>
      <c r="H11" s="45" t="inlineStr">
        <is>
          <t>User and item histories fragment silently.</t>
        </is>
      </c>
      <c r="I11" s="45" t="inlineStr">
        <is>
          <t>D7</t>
        </is>
      </c>
      <c r="J11" s="45" t="inlineStr">
        <is>
          <t>MongoDB ids are never reused, so nothing to build.</t>
        </is>
      </c>
    </row>
    <row r="12" ht="51" customHeight="1" s="25">
      <c r="A12" s="44" t="inlineStr">
        <is>
          <t>D8</t>
        </is>
      </c>
      <c r="B12" s="45" t="inlineStr">
        <is>
          <t>Raw event retention</t>
        </is>
      </c>
      <c r="C12" s="45" t="inlineStr">
        <is>
          <t>Important</t>
        </is>
      </c>
      <c r="D12" s="45" t="inlineStr">
        <is>
          <t>Aravinth; Allen for ml_events</t>
        </is>
      </c>
      <c r="E12" s="45" t="inlineStr">
        <is>
          <t>To build</t>
        </is>
      </c>
      <c r="F12" s="45" t="n"/>
      <c r="G12" s="45" t="inlineStr">
        <is>
          <t>Platform: 90-day expiry on short-lived postevents types and on recommendationrequests; other postevents types kept. Engine: copies kept at least 365 days from the event time, under the engine's own expiry (X-08). userevents marked deprecated in code.</t>
        </is>
      </c>
      <c r="H12" s="45" t="inlineStr">
        <is>
          <t>Training windows are truncated and seasonal patterns cannot be learned.</t>
        </is>
      </c>
      <c r="I12" s="45" t="inlineStr">
        <is>
          <t>D8, X-08</t>
        </is>
      </c>
      <c r="J12" s="45" t="inlineStr">
        <is>
          <t>28 Sep 2026: Replaces the platform-side 365-day raise. Build list DB-01, ENG-04.</t>
        </is>
      </c>
    </row>
    <row r="13" ht="38.25" customHeight="1" s="25">
      <c r="A13" s="44" t="inlineStr">
        <is>
          <t>D9</t>
        </is>
      </c>
      <c r="B13" s="45" t="inlineStr">
        <is>
          <t>Purchase privacy for incognito orders</t>
        </is>
      </c>
      <c r="C13" s="45" t="inlineStr">
        <is>
          <t>Important</t>
        </is>
      </c>
      <c r="D13" s="45" t="inlineStr">
        <is>
          <t>Aravinth; Allen for the order filter</t>
        </is>
      </c>
      <c r="E13" s="45" t="inlineStr">
        <is>
          <t>To build</t>
        </is>
      </c>
      <c r="F13" s="46" t="n"/>
      <c r="G13" s="45" t="inlineStr">
        <is>
          <t>As X-09: everything is recorded; a buyer's identity from an incognito order is never shown to anyone else.</t>
        </is>
      </c>
      <c r="H13" s="45" t="inlineStr">
        <is>
          <t>A buyer's private purchase is shown to their followers.</t>
        </is>
      </c>
      <c r="I13" s="45" t="inlineStr">
        <is>
          <t>D9, X-09</t>
        </is>
      </c>
      <c r="J13" s="45" t="inlineStr">
        <is>
          <t>28 Sep 2026: Product Owner decision. Build list APP-04.</t>
        </is>
      </c>
    </row>
    <row r="14" ht="38.25" customHeight="1" s="25">
      <c r="A14" s="44" t="inlineStr">
        <is>
          <t>D10</t>
        </is>
      </c>
      <c r="B14" s="45" t="inlineStr">
        <is>
          <t>Change time on posts and accounts</t>
        </is>
      </c>
      <c r="C14" s="45" t="inlineStr">
        <is>
          <t>Blocking</t>
        </is>
      </c>
      <c r="D14" s="45" t="inlineStr">
        <is>
          <t>Aravinth</t>
        </is>
      </c>
      <c r="E14" s="45" t="inlineStr">
        <is>
          <t>Closed</t>
        </is>
      </c>
      <c r="F14" s="46" t="n"/>
      <c r="G14" s="45" t="inlineStr">
        <is>
          <t>Not needed: the engine re-reads posts, accounts and products in full, and re-checks returned items when each list is built (build list ENG-27, ENG-08).</t>
        </is>
      </c>
      <c r="H14" s="45" t="inlineStr">
        <is>
          <t>A deranked, hidden or private post, or an inactive account, can keep being recommended until the next full re-read.</t>
        </is>
      </c>
      <c r="I14" s="45" t="inlineStr">
        <is>
          <t>D10</t>
        </is>
      </c>
      <c r="J14" s="45" t="inlineStr">
        <is>
          <t>29 Sep 2026: Build list DB-14 not needed.</t>
        </is>
      </c>
    </row>
    <row r="15" ht="38.25" customHeight="1" s="25">
      <c r="A15" s="44" t="inlineStr">
        <is>
          <t>D11</t>
        </is>
      </c>
      <c r="B15" s="45" t="inlineStr">
        <is>
          <t>Deleted-accounts log</t>
        </is>
      </c>
      <c r="C15" s="45" t="inlineStr">
        <is>
          <t>Important</t>
        </is>
      </c>
      <c r="D15" s="45" t="inlineStr">
        <is>
          <t>Aravinth</t>
        </is>
      </c>
      <c r="E15" s="45" t="inlineStr">
        <is>
          <t>Closed</t>
        </is>
      </c>
      <c r="F15" s="46" t="n"/>
      <c r="G15" s="45" t="inlineStr">
        <is>
          <t>Not needed: the engine detects deleted accounts itself, with confirmation (build list ENG-28).</t>
        </is>
      </c>
      <c r="H15" s="45" t="inlineStr">
        <is>
          <t>A deleted account's data stays in the engine.</t>
        </is>
      </c>
      <c r="I15" s="45" t="inlineStr">
        <is>
          <t>D11</t>
        </is>
      </c>
      <c r="J15" s="45" t="inlineStr">
        <is>
          <t>29 Sep 2026: Build list DB-15 not needed.</t>
        </is>
      </c>
    </row>
    <row r="16" ht="38.25" customHeight="1" s="25">
      <c r="A16" s="44" t="inlineStr">
        <is>
          <t>D12</t>
        </is>
      </c>
      <c r="B16" s="45" t="inlineStr">
        <is>
          <t>Order state and history</t>
        </is>
      </c>
      <c r="C16" s="45" t="inlineStr">
        <is>
          <t>Blocking</t>
        </is>
      </c>
      <c r="D16" s="45" t="inlineStr">
        <is>
          <t>Aravinth</t>
        </is>
      </c>
      <c r="E16" s="45" t="inlineStr">
        <is>
          <t>Verify</t>
        </is>
      </c>
      <c r="F16" s="46" t="n"/>
      <c r="G16" s="45" t="inlineStr">
        <is>
          <t>Nothing to build. order_status is the order's current state. tracking_info on the order (existing) is its history: one entry per business event, with a free-text status and a timestamp, and no actor; it includes events that do not change order_status (payment, return request, refund). The engine maps each entry to a history event and takes outcomes from order_status (build list ENG-30). Entries are added only where a code path that writes order_status writes none (build list APP-08).</t>
        </is>
      </c>
      <c r="H16" s="45" t="inlineStr">
        <is>
          <t>Order history and who cancelled cannot be read reliably.</t>
        </is>
      </c>
      <c r="I16" s="45" t="inlineStr">
        <is>
          <t>D12, E6</t>
        </is>
      </c>
      <c r="J16" s="45" t="inlineStr">
        <is>
          <t>14 Oct 2026: Who acted is not recorded and not needed.
29 Sep 2026: Replaces the new status log.</t>
        </is>
      </c>
    </row>
    <row r="17" ht="15" customHeight="1" s="25"/>
    <row r="18" ht="15" customHeight="1" s="25"/>
    <row r="19" ht="15" customHeight="1" s="25"/>
    <row r="20" ht="15" customHeight="1" s="25"/>
    <row r="21" ht="15.75" customHeight="1" s="25"/>
    <row r="22" ht="15.75" customHeight="1" s="25"/>
    <row r="23" ht="15.75" customHeight="1" s="25"/>
    <row r="24" ht="15.75" customHeight="1" s="25"/>
    <row r="25" ht="15.75" customHeight="1" s="25"/>
    <row r="26" ht="15.75" customHeight="1" s="25"/>
    <row r="27" ht="15.75" customHeight="1" s="25"/>
    <row r="28" ht="15.75" customHeight="1" s="25"/>
    <row r="29" ht="15.75" customHeight="1" s="25"/>
    <row r="30" ht="15.75" customHeight="1" s="25"/>
    <row r="31" ht="15.75" customHeight="1" s="25"/>
    <row r="32" ht="15.75" customHeight="1" s="25"/>
    <row r="33" ht="15.75" customHeight="1" s="25"/>
    <row r="34" ht="15.75" customHeight="1" s="25"/>
    <row r="35" ht="15.75" customHeight="1" s="25"/>
    <row r="36" ht="15.75" customHeight="1" s="25"/>
    <row r="37" ht="15.75" customHeight="1" s="25"/>
    <row r="38" ht="15.75" customHeight="1" s="25"/>
    <row r="39" ht="15.75" customHeight="1" s="25"/>
    <row r="40" ht="15.75" customHeight="1" s="25"/>
    <row r="41" ht="15.75" customHeight="1" s="25"/>
    <row r="42" ht="15.75" customHeight="1" s="25"/>
    <row r="43" ht="15.75" customHeight="1" s="25"/>
    <row r="44" ht="15.75" customHeight="1" s="25"/>
    <row r="45" ht="15.75" customHeight="1" s="25"/>
    <row r="46" ht="15.75" customHeight="1" s="25"/>
    <row r="47" ht="15.75" customHeight="1" s="25"/>
    <row r="48" ht="15.75" customHeight="1" s="25"/>
    <row r="49" ht="15.75" customHeight="1" s="25"/>
    <row r="50" ht="15.75" customHeight="1" s="25"/>
    <row r="51" ht="15.75" customHeight="1" s="25"/>
    <row r="52" ht="15.75" customHeight="1" s="25"/>
    <row r="53" ht="15.75" customHeight="1" s="25"/>
    <row r="54" ht="15.75" customHeight="1" s="25"/>
    <row r="55" ht="15.75" customHeight="1" s="25"/>
    <row r="56" ht="15.75" customHeight="1" s="25"/>
    <row r="57" ht="15.75" customHeight="1" s="25"/>
    <row r="58" ht="15.75" customHeight="1" s="25"/>
    <row r="59" ht="15.75" customHeight="1" s="25"/>
    <row r="60" ht="15.75" customHeight="1" s="25"/>
    <row r="61" ht="15.75" customHeight="1" s="25"/>
    <row r="62" ht="15.75" customHeight="1" s="25"/>
    <row r="63" ht="15.75" customHeight="1" s="25"/>
    <row r="64" ht="15.75" customHeight="1" s="25"/>
    <row r="65" ht="15.75" customHeight="1" s="25"/>
    <row r="66" ht="15.75" customHeight="1" s="25"/>
    <row r="67" ht="15.75" customHeight="1" s="25"/>
    <row r="68" ht="15.75" customHeight="1" s="25"/>
    <row r="69" ht="15.75" customHeight="1" s="25"/>
    <row r="70" ht="15.75" customHeight="1" s="25"/>
    <row r="71" ht="15.75" customHeight="1" s="25"/>
    <row r="72" ht="15.75" customHeight="1" s="25"/>
    <row r="73" ht="15.75" customHeight="1" s="25"/>
    <row r="74" ht="15.75" customHeight="1" s="25"/>
    <row r="75" ht="15.75" customHeight="1" s="25"/>
    <row r="76" ht="15.75" customHeight="1" s="25"/>
    <row r="77" ht="15.75" customHeight="1" s="25"/>
    <row r="78" ht="15.75" customHeight="1" s="25"/>
    <row r="79" ht="15.75" customHeight="1" s="25"/>
    <row r="80" ht="15.75" customHeight="1" s="25"/>
    <row r="81" ht="15.75" customHeight="1" s="25"/>
    <row r="82" ht="15.75" customHeight="1" s="25"/>
    <row r="83" ht="15.75" customHeight="1" s="25"/>
    <row r="84" ht="15.75" customHeight="1" s="25"/>
    <row r="85" ht="15.75" customHeight="1" s="25"/>
    <row r="86" ht="15.75" customHeight="1" s="25"/>
    <row r="87" ht="15.75" customHeight="1" s="25"/>
    <row r="88" ht="15.75" customHeight="1" s="25"/>
    <row r="89" ht="15.75" customHeight="1" s="25"/>
    <row r="90" ht="15.75" customHeight="1" s="25"/>
    <row r="91" ht="15.75" customHeight="1" s="25"/>
    <row r="92" ht="15.75" customHeight="1" s="25"/>
    <row r="93" ht="15.75" customHeight="1" s="25"/>
    <row r="94" ht="15.75" customHeight="1" s="25"/>
    <row r="95" ht="15.75" customHeight="1" s="25"/>
    <row r="96" ht="15.75" customHeight="1" s="25"/>
    <row r="97" ht="15.75" customHeight="1" s="25"/>
    <row r="98" ht="15.75" customHeight="1" s="25"/>
    <row r="99" ht="15.75" customHeight="1" s="25"/>
    <row r="100" ht="15.75" customHeight="1" s="25"/>
    <row r="101" ht="15.75" customHeight="1" s="25"/>
    <row r="102" ht="15.75" customHeight="1" s="25"/>
    <row r="103" ht="15.75" customHeight="1" s="25"/>
    <row r="104" ht="15.75" customHeight="1" s="25"/>
    <row r="105" ht="15.75" customHeight="1" s="25"/>
    <row r="106" ht="15.75" customHeight="1" s="25"/>
    <row r="107" ht="15.75" customHeight="1" s="25"/>
    <row r="108" ht="15.75" customHeight="1" s="25"/>
    <row r="109" ht="15.75" customHeight="1" s="25"/>
    <row r="110" ht="15.75" customHeight="1" s="25"/>
    <row r="111" ht="15.75" customHeight="1" s="25"/>
    <row r="112" ht="15.75" customHeight="1" s="25"/>
    <row r="113" ht="15.75" customHeight="1" s="25"/>
    <row r="114" ht="15.75" customHeight="1" s="25"/>
    <row r="115" ht="15.75" customHeight="1" s="25"/>
    <row r="116" ht="15.75" customHeight="1" s="25"/>
    <row r="117" ht="15.75" customHeight="1" s="25"/>
    <row r="118" ht="15.75" customHeight="1" s="25"/>
    <row r="119" ht="15.75" customHeight="1" s="25"/>
    <row r="120" ht="15.75" customHeight="1" s="25"/>
    <row r="121" ht="15.75" customHeight="1" s="25"/>
    <row r="122" ht="15.75" customHeight="1" s="25"/>
    <row r="123" ht="15.75" customHeight="1" s="25"/>
    <row r="124" ht="15.75" customHeight="1" s="25"/>
    <row r="125" ht="15.75" customHeight="1" s="25"/>
    <row r="126" ht="15.75" customHeight="1" s="25"/>
    <row r="127" ht="15.75" customHeight="1" s="25"/>
    <row r="128" ht="15.75" customHeight="1" s="25"/>
    <row r="129" ht="15.75" customHeight="1" s="25"/>
    <row r="130" ht="15.75" customHeight="1" s="25"/>
    <row r="131" ht="15.75" customHeight="1" s="25"/>
    <row r="132" ht="15.75" customHeight="1" s="25"/>
    <row r="133" ht="15.75" customHeight="1" s="25"/>
    <row r="134" ht="15.75" customHeight="1" s="25"/>
    <row r="135" ht="15.75" customHeight="1" s="25"/>
    <row r="136" ht="15.75" customHeight="1" s="25"/>
    <row r="137" ht="15.75" customHeight="1" s="25"/>
    <row r="138" ht="15.75" customHeight="1" s="25"/>
    <row r="139" ht="15.75" customHeight="1" s="25"/>
    <row r="140" ht="15.75" customHeight="1" s="25"/>
    <row r="141" ht="15.75" customHeight="1" s="25"/>
    <row r="142" ht="15.75" customHeight="1" s="25"/>
    <row r="143" ht="15.75" customHeight="1" s="25"/>
    <row r="144" ht="15.75" customHeight="1" s="25"/>
    <row r="145" ht="15.75" customHeight="1" s="25"/>
    <row r="146" ht="15.75" customHeight="1" s="25"/>
    <row r="147" ht="15.75" customHeight="1" s="25"/>
    <row r="148" ht="15.75" customHeight="1" s="25"/>
    <row r="149" ht="15.75" customHeight="1" s="25"/>
    <row r="150" ht="15.75" customHeight="1" s="25"/>
    <row r="151" ht="15.75" customHeight="1" s="25"/>
    <row r="152" ht="15.75" customHeight="1" s="25"/>
    <row r="153" ht="15.75" customHeight="1" s="25"/>
    <row r="154" ht="15.75" customHeight="1" s="25"/>
    <row r="155" ht="15.75" customHeight="1" s="25"/>
    <row r="156" ht="15.75" customHeight="1" s="25"/>
    <row r="157" ht="15.75" customHeight="1" s="25"/>
    <row r="158" ht="15.75" customHeight="1" s="25"/>
    <row r="159" ht="15.75" customHeight="1" s="25"/>
    <row r="160" ht="15.75" customHeight="1" s="25"/>
    <row r="161" ht="15.75" customHeight="1" s="25"/>
    <row r="162" ht="15.75" customHeight="1" s="25"/>
    <row r="163" ht="15.75" customHeight="1" s="25"/>
    <row r="164" ht="15.75" customHeight="1" s="25"/>
    <row r="165" ht="15.75" customHeight="1" s="25"/>
    <row r="166" ht="15.75" customHeight="1" s="25"/>
    <row r="167" ht="15.75" customHeight="1" s="25"/>
    <row r="168" ht="15.75" customHeight="1" s="25"/>
    <row r="169" ht="15.75" customHeight="1" s="25"/>
    <row r="170" ht="15.75" customHeight="1" s="25"/>
    <row r="171" ht="15.75" customHeight="1" s="25"/>
    <row r="172" ht="15.75" customHeight="1" s="25"/>
    <row r="173" ht="15.75" customHeight="1" s="25"/>
    <row r="174" ht="15.75" customHeight="1" s="25"/>
    <row r="175" ht="15.75" customHeight="1" s="25"/>
    <row r="176" ht="15.75" customHeight="1" s="25"/>
    <row r="177" ht="15.75" customHeight="1" s="25"/>
    <row r="178" ht="15.75" customHeight="1" s="25"/>
    <row r="179" ht="15.75" customHeight="1" s="25"/>
    <row r="180" ht="15.75" customHeight="1" s="25"/>
    <row r="181" ht="15.75" customHeight="1" s="25"/>
    <row r="182" ht="15.75" customHeight="1" s="25"/>
    <row r="183" ht="15.75" customHeight="1" s="25"/>
    <row r="184" ht="15.75" customHeight="1" s="25"/>
    <row r="185" ht="15.75" customHeight="1" s="25"/>
    <row r="186" ht="15.75" customHeight="1" s="25"/>
    <row r="187" ht="15.75" customHeight="1" s="25"/>
    <row r="188" ht="15.75" customHeight="1" s="25"/>
    <row r="189" ht="15.75" customHeight="1" s="25"/>
    <row r="190" ht="15.75" customHeight="1" s="25"/>
    <row r="191" ht="15.75" customHeight="1" s="25"/>
    <row r="192" ht="15.75" customHeight="1" s="25"/>
    <row r="193" ht="15.75" customHeight="1" s="25"/>
    <row r="194" ht="15.75" customHeight="1" s="25"/>
    <row r="195" ht="15.75" customHeight="1" s="25"/>
    <row r="196" ht="15.75" customHeight="1" s="25"/>
    <row r="197" ht="15.75" customHeight="1" s="25"/>
    <row r="198" ht="15.75" customHeight="1" s="25"/>
    <row r="199" ht="15.75" customHeight="1" s="25"/>
    <row r="200" ht="15.75" customHeight="1" s="25"/>
    <row r="201" ht="15.75" customHeight="1" s="25"/>
    <row r="202" ht="15.75" customHeight="1" s="25"/>
    <row r="203" ht="15.75" customHeight="1" s="25"/>
    <row r="204" ht="15.75" customHeight="1" s="25"/>
    <row r="205" ht="15.75" customHeight="1" s="25"/>
    <row r="206" ht="15.75" customHeight="1" s="25"/>
    <row r="207" ht="15.75" customHeight="1" s="25"/>
    <row r="208" ht="15.75" customHeight="1" s="25"/>
    <row r="209" ht="15.75" customHeight="1" s="25"/>
    <row r="210" ht="15.75" customHeight="1" s="25"/>
    <row r="211" ht="15.75" customHeight="1" s="25"/>
    <row r="212" ht="15.75" customHeight="1" s="25"/>
    <row r="213" ht="15.75" customHeight="1" s="25"/>
    <row r="214" ht="15.75" customHeight="1" s="25"/>
    <row r="215" ht="15.75" customHeight="1" s="25"/>
    <row r="216" ht="15.75" customHeight="1" s="25"/>
    <row r="217" ht="15.75" customHeight="1" s="25"/>
    <row r="218" ht="15.75" customHeight="1" s="25"/>
    <row r="219" ht="15.75" customHeight="1" s="25"/>
    <row r="220" ht="15.75" customHeight="1" s="25"/>
    <row r="221" ht="15.75" customHeight="1" s="25"/>
    <row r="222" ht="15.75" customHeight="1" s="25"/>
    <row r="223" ht="15.75" customHeight="1" s="25"/>
    <row r="224" ht="15.75" customHeight="1" s="25"/>
    <row r="225" ht="15.75" customHeight="1" s="25"/>
    <row r="226" ht="15.75" customHeight="1" s="25"/>
    <row r="227" ht="15.75" customHeight="1" s="25"/>
    <row r="228" ht="15.75" customHeight="1" s="25"/>
    <row r="229" ht="15.75" customHeight="1" s="25"/>
    <row r="230" ht="15.75" customHeight="1" s="25"/>
    <row r="231" ht="15.75" customHeight="1" s="25"/>
    <row r="232" ht="15.75" customHeight="1" s="25"/>
    <row r="233" ht="15.75" customHeight="1" s="25"/>
    <row r="234" ht="15.75" customHeight="1" s="25"/>
    <row r="235" ht="15.75" customHeight="1" s="25"/>
    <row r="236" ht="15.75" customHeight="1" s="25"/>
    <row r="237" ht="15.75" customHeight="1" s="25"/>
    <row r="238" ht="15.75" customHeight="1" s="25"/>
    <row r="239" ht="15.75" customHeight="1" s="25"/>
    <row r="240" ht="15.75" customHeight="1" s="25"/>
    <row r="241" ht="15.75" customHeight="1" s="25"/>
    <row r="242" ht="15.75" customHeight="1" s="25"/>
    <row r="243" ht="15.75" customHeight="1" s="25"/>
    <row r="244" ht="15.75" customHeight="1" s="25"/>
    <row r="245" ht="15.75" customHeight="1" s="25"/>
    <row r="246" ht="15.75" customHeight="1" s="25"/>
    <row r="247" ht="15.75" customHeight="1" s="25"/>
    <row r="248" ht="15.75" customHeight="1" s="25"/>
    <row r="249" ht="15.75" customHeight="1" s="25"/>
    <row r="250" ht="15.75" customHeight="1" s="25"/>
    <row r="251" ht="15.75" customHeight="1" s="25"/>
    <row r="252" ht="15.75" customHeight="1" s="25"/>
    <row r="253" ht="15.75" customHeight="1" s="25"/>
    <row r="254" ht="15.75" customHeight="1" s="25"/>
    <row r="255" ht="15.75" customHeight="1" s="25"/>
    <row r="256" ht="15.75" customHeight="1" s="25"/>
    <row r="257" ht="15.75" customHeight="1" s="25"/>
    <row r="258" ht="15.75" customHeight="1" s="25"/>
    <row r="259" ht="15.75" customHeight="1" s="25"/>
    <row r="260" ht="15.75" customHeight="1" s="25"/>
    <row r="261" ht="15.75" customHeight="1" s="25"/>
    <row r="262" ht="15.75" customHeight="1" s="25"/>
    <row r="263" ht="15.75" customHeight="1" s="25"/>
    <row r="264" ht="15.75" customHeight="1" s="25"/>
    <row r="265" ht="15.75" customHeight="1" s="25"/>
    <row r="266" ht="15.75" customHeight="1" s="25"/>
    <row r="267" ht="15.75" customHeight="1" s="25"/>
    <row r="268" ht="15.75" customHeight="1" s="25"/>
    <row r="269" ht="15.75" customHeight="1" s="25"/>
    <row r="270" ht="15.75" customHeight="1" s="25"/>
    <row r="271" ht="15.75" customHeight="1" s="25"/>
    <row r="272" ht="15.75" customHeight="1" s="25"/>
    <row r="273" ht="15.75" customHeight="1" s="25"/>
    <row r="274" ht="15.75" customHeight="1" s="25"/>
    <row r="275" ht="15.75" customHeight="1" s="25"/>
    <row r="276" ht="15.75" customHeight="1" s="25"/>
    <row r="277" ht="15.75" customHeight="1" s="25"/>
    <row r="278" ht="15.75" customHeight="1" s="25"/>
    <row r="279" ht="15.75" customHeight="1" s="25"/>
    <row r="280" ht="15.75" customHeight="1" s="25"/>
    <row r="281" ht="15.75" customHeight="1" s="25"/>
    <row r="282" ht="15.75" customHeight="1" s="25"/>
    <row r="283" ht="15.75" customHeight="1" s="25"/>
    <row r="284" ht="15.75" customHeight="1" s="25"/>
    <row r="285" ht="15.75" customHeight="1" s="25"/>
    <row r="286" ht="15.75" customHeight="1" s="25"/>
    <row r="287" ht="15.75" customHeight="1" s="25"/>
    <row r="288" ht="15.75" customHeight="1" s="25"/>
    <row r="289" ht="15.75" customHeight="1" s="25"/>
    <row r="290" ht="15.75" customHeight="1" s="25"/>
    <row r="291" ht="15.75" customHeight="1" s="25"/>
    <row r="292" ht="15.75" customHeight="1" s="25"/>
    <row r="293" ht="15.75" customHeight="1" s="25"/>
    <row r="294" ht="15.75" customHeight="1" s="25"/>
    <row r="295" ht="15.75" customHeight="1" s="25"/>
    <row r="296" ht="15.75" customHeight="1" s="25"/>
    <row r="297" ht="15.75" customHeight="1" s="25"/>
    <row r="298" ht="15.75" customHeight="1" s="25"/>
    <row r="299" ht="15.75" customHeight="1" s="25"/>
    <row r="300" ht="15.75" customHeight="1" s="25"/>
    <row r="301" ht="15.75" customHeight="1" s="25"/>
    <row r="302" ht="15.75" customHeight="1" s="25"/>
    <row r="303" ht="15.75" customHeight="1" s="25"/>
    <row r="304" ht="15.75" customHeight="1" s="25"/>
    <row r="305" ht="15.75" customHeight="1" s="25"/>
    <row r="306" ht="15.75" customHeight="1" s="25"/>
    <row r="307" ht="15.75" customHeight="1" s="25"/>
    <row r="308" ht="15.75" customHeight="1" s="25"/>
    <row r="309" ht="15.75" customHeight="1" s="25"/>
    <row r="310" ht="15.75" customHeight="1" s="25"/>
    <row r="311" ht="15.75" customHeight="1" s="25"/>
    <row r="312" ht="15.75" customHeight="1" s="25"/>
    <row r="313" ht="15.75" customHeight="1" s="25"/>
    <row r="314" ht="15.75" customHeight="1" s="25"/>
    <row r="315" ht="15.75" customHeight="1" s="25"/>
    <row r="316" ht="15.75" customHeight="1" s="25"/>
    <row r="317" ht="15.75" customHeight="1" s="25"/>
    <row r="318" ht="15.75" customHeight="1" s="25"/>
    <row r="319" ht="15.75" customHeight="1" s="25"/>
    <row r="320" ht="15.75" customHeight="1" s="25"/>
    <row r="321" ht="15.75" customHeight="1" s="25"/>
    <row r="322" ht="15.75" customHeight="1" s="25"/>
    <row r="323" ht="15.75" customHeight="1" s="25"/>
    <row r="324" ht="15.75" customHeight="1" s="25"/>
    <row r="325" ht="15.75" customHeight="1" s="25"/>
    <row r="326" ht="15.75" customHeight="1" s="25"/>
    <row r="327" ht="15.75" customHeight="1" s="25"/>
    <row r="328" ht="15.75" customHeight="1" s="25"/>
    <row r="329" ht="15.75" customHeight="1" s="25"/>
    <row r="330" ht="15.75" customHeight="1" s="25"/>
    <row r="331" ht="15.75" customHeight="1" s="25"/>
    <row r="332" ht="15.75" customHeight="1" s="25"/>
    <row r="333" ht="15.75" customHeight="1" s="25"/>
    <row r="334" ht="15.75" customHeight="1" s="25"/>
    <row r="335" ht="15.75" customHeight="1" s="25"/>
    <row r="336" ht="15.75" customHeight="1" s="25"/>
    <row r="337" ht="15.75" customHeight="1" s="25"/>
    <row r="338" ht="15.75" customHeight="1" s="25"/>
    <row r="339" ht="15.75" customHeight="1" s="25"/>
    <row r="340" ht="15.75" customHeight="1" s="25"/>
    <row r="341" ht="15.75" customHeight="1" s="25"/>
    <row r="342" ht="15.75" customHeight="1" s="25"/>
    <row r="343" ht="15.75" customHeight="1" s="25"/>
    <row r="344" ht="15.75" customHeight="1" s="25"/>
    <row r="345" ht="15.75" customHeight="1" s="25"/>
    <row r="346" ht="15.75" customHeight="1" s="25"/>
    <row r="347" ht="15.75" customHeight="1" s="25"/>
    <row r="348" ht="15.75" customHeight="1" s="25"/>
    <row r="349" ht="15.75" customHeight="1" s="25"/>
    <row r="350" ht="15.75" customHeight="1" s="25"/>
    <row r="351" ht="15.75" customHeight="1" s="25"/>
    <row r="352" ht="15.75" customHeight="1" s="25"/>
    <row r="353" ht="15.75" customHeight="1" s="25"/>
    <row r="354" ht="15.75" customHeight="1" s="25"/>
    <row r="355" ht="15.75" customHeight="1" s="25"/>
    <row r="356" ht="15.75" customHeight="1" s="25"/>
    <row r="357" ht="15.75" customHeight="1" s="25"/>
    <row r="358" ht="15.75" customHeight="1" s="25"/>
    <row r="359" ht="15.75" customHeight="1" s="25"/>
    <row r="360" ht="15.75" customHeight="1" s="25"/>
    <row r="361" ht="15.75" customHeight="1" s="25"/>
    <row r="362" ht="15.75" customHeight="1" s="25"/>
    <row r="363" ht="15.75" customHeight="1" s="25"/>
    <row r="364" ht="15.75" customHeight="1" s="25"/>
    <row r="365" ht="15.75" customHeight="1" s="25"/>
    <row r="366" ht="15.75" customHeight="1" s="25"/>
    <row r="367" ht="15.75" customHeight="1" s="25"/>
    <row r="368" ht="15.75" customHeight="1" s="25"/>
    <row r="369" ht="15.75" customHeight="1" s="25"/>
    <row r="370" ht="15.75" customHeight="1" s="25"/>
    <row r="371" ht="15.75" customHeight="1" s="25"/>
    <row r="372" ht="15.75" customHeight="1" s="25"/>
    <row r="373" ht="15.75" customHeight="1" s="25"/>
    <row r="374" ht="15.75" customHeight="1" s="25"/>
    <row r="375" ht="15.75" customHeight="1" s="25"/>
    <row r="376" ht="15.75" customHeight="1" s="25"/>
    <row r="377" ht="15.75" customHeight="1" s="25"/>
    <row r="378" ht="15.75" customHeight="1" s="25"/>
    <row r="379" ht="15.75" customHeight="1" s="25"/>
    <row r="380" ht="15.75" customHeight="1" s="25"/>
    <row r="381" ht="15.75" customHeight="1" s="25"/>
    <row r="382" ht="15.75" customHeight="1" s="25"/>
    <row r="383" ht="15.75" customHeight="1" s="25"/>
    <row r="384" ht="15.75" customHeight="1" s="25"/>
    <row r="385" ht="15.75" customHeight="1" s="25"/>
    <row r="386" ht="15.75" customHeight="1" s="25"/>
    <row r="387" ht="15.75" customHeight="1" s="25"/>
    <row r="388" ht="15.75" customHeight="1" s="25"/>
    <row r="389" ht="15.75" customHeight="1" s="25"/>
    <row r="390" ht="15.75" customHeight="1" s="25"/>
    <row r="391" ht="15.75" customHeight="1" s="25"/>
    <row r="392" ht="15.75" customHeight="1" s="25"/>
    <row r="393" ht="15.75" customHeight="1" s="25"/>
    <row r="394" ht="15.75" customHeight="1" s="25"/>
    <row r="395" ht="15.75" customHeight="1" s="25"/>
    <row r="396" ht="15.75" customHeight="1" s="25"/>
    <row r="397" ht="15.75" customHeight="1" s="25"/>
    <row r="398" ht="15.75" customHeight="1" s="25"/>
    <row r="399" ht="15.75" customHeight="1" s="25"/>
    <row r="400" ht="15.75" customHeight="1" s="25"/>
    <row r="401" ht="15.75" customHeight="1" s="25"/>
    <row r="402" ht="15.75" customHeight="1" s="25"/>
    <row r="403" ht="15.75" customHeight="1" s="25"/>
    <row r="404" ht="15.75" customHeight="1" s="25"/>
    <row r="405" ht="15.75" customHeight="1" s="25"/>
    <row r="406" ht="15.75" customHeight="1" s="25"/>
    <row r="407" ht="15.75" customHeight="1" s="25"/>
    <row r="408" ht="15.75" customHeight="1" s="25"/>
    <row r="409" ht="15.75" customHeight="1" s="25"/>
    <row r="410" ht="15.75" customHeight="1" s="25"/>
    <row r="411" ht="15.75" customHeight="1" s="25"/>
    <row r="412" ht="15.75" customHeight="1" s="25"/>
    <row r="413" ht="15.75" customHeight="1" s="25"/>
    <row r="414" ht="15.75" customHeight="1" s="25"/>
    <row r="415" ht="15.75" customHeight="1" s="25"/>
    <row r="416" ht="15.75" customHeight="1" s="25"/>
    <row r="417" ht="15.75" customHeight="1" s="25"/>
    <row r="418" ht="15.75" customHeight="1" s="25"/>
    <row r="419" ht="15.75" customHeight="1" s="25"/>
    <row r="420" ht="15.75" customHeight="1" s="25"/>
    <row r="421" ht="15.75" customHeight="1" s="25"/>
    <row r="422" ht="15.75" customHeight="1" s="25"/>
    <row r="423" ht="15.75" customHeight="1" s="25"/>
    <row r="424" ht="15.75" customHeight="1" s="25"/>
    <row r="425" ht="15.75" customHeight="1" s="25"/>
    <row r="426" ht="15.75" customHeight="1" s="25"/>
    <row r="427" ht="15.75" customHeight="1" s="25"/>
    <row r="428" ht="15.75" customHeight="1" s="25"/>
    <row r="429" ht="15.75" customHeight="1" s="25"/>
    <row r="430" ht="15.75" customHeight="1" s="25"/>
    <row r="431" ht="15.75" customHeight="1" s="25"/>
    <row r="432" ht="15.75" customHeight="1" s="25"/>
    <row r="433" ht="15.75" customHeight="1" s="25"/>
    <row r="434" ht="15.75" customHeight="1" s="25"/>
    <row r="435" ht="15.75" customHeight="1" s="25"/>
    <row r="436" ht="15.75" customHeight="1" s="25"/>
    <row r="437" ht="15.75" customHeight="1" s="25"/>
    <row r="438" ht="15.75" customHeight="1" s="25"/>
    <row r="439" ht="15.75" customHeight="1" s="25"/>
    <row r="440" ht="15.75" customHeight="1" s="25"/>
    <row r="441" ht="15.75" customHeight="1" s="25"/>
    <row r="442" ht="15.75" customHeight="1" s="25"/>
    <row r="443" ht="15.75" customHeight="1" s="25"/>
    <row r="444" ht="15.75" customHeight="1" s="25"/>
    <row r="445" ht="15.75" customHeight="1" s="25"/>
    <row r="446" ht="15.75" customHeight="1" s="25"/>
    <row r="447" ht="15.75" customHeight="1" s="25"/>
    <row r="448" ht="15.75" customHeight="1" s="25"/>
    <row r="449" ht="15.75" customHeight="1" s="25"/>
    <row r="450" ht="15.75" customHeight="1" s="25"/>
    <row r="451" ht="15.75" customHeight="1" s="25"/>
    <row r="452" ht="15.75" customHeight="1" s="25"/>
    <row r="453" ht="15.75" customHeight="1" s="25"/>
    <row r="454" ht="15.75" customHeight="1" s="25"/>
    <row r="455" ht="15.75" customHeight="1" s="25"/>
    <row r="456" ht="15.75" customHeight="1" s="25"/>
    <row r="457" ht="15.75" customHeight="1" s="25"/>
    <row r="458" ht="15.75" customHeight="1" s="25"/>
    <row r="459" ht="15.75" customHeight="1" s="25"/>
    <row r="460" ht="15.75" customHeight="1" s="25"/>
    <row r="461" ht="15.75" customHeight="1" s="25"/>
    <row r="462" ht="15.75" customHeight="1" s="25"/>
    <row r="463" ht="15.75" customHeight="1" s="25"/>
    <row r="464" ht="15.75" customHeight="1" s="25"/>
    <row r="465" ht="15.75" customHeight="1" s="25"/>
    <row r="466" ht="15.75" customHeight="1" s="25"/>
    <row r="467" ht="15.75" customHeight="1" s="25"/>
    <row r="468" ht="15.75" customHeight="1" s="25"/>
    <row r="469" ht="15.75" customHeight="1" s="25"/>
    <row r="470" ht="15.75" customHeight="1" s="25"/>
    <row r="471" ht="15.75" customHeight="1" s="25"/>
    <row r="472" ht="15.75" customHeight="1" s="25"/>
    <row r="473" ht="15.75" customHeight="1" s="25"/>
    <row r="474" ht="15.75" customHeight="1" s="25"/>
    <row r="475" ht="15.75" customHeight="1" s="25"/>
    <row r="476" ht="15.75" customHeight="1" s="25"/>
    <row r="477" ht="15.75" customHeight="1" s="25"/>
    <row r="478" ht="15.75" customHeight="1" s="25"/>
    <row r="479" ht="15.75" customHeight="1" s="25"/>
    <row r="480" ht="15.75" customHeight="1" s="25"/>
    <row r="481" ht="15.75" customHeight="1" s="25"/>
    <row r="482" ht="15.75" customHeight="1" s="25"/>
    <row r="483" ht="15.75" customHeight="1" s="25"/>
    <row r="484" ht="15.75" customHeight="1" s="25"/>
    <row r="485" ht="15.75" customHeight="1" s="25"/>
    <row r="486" ht="15.75" customHeight="1" s="25"/>
    <row r="487" ht="15.75" customHeight="1" s="25"/>
    <row r="488" ht="15.75" customHeight="1" s="25"/>
    <row r="489" ht="15.75" customHeight="1" s="25"/>
    <row r="490" ht="15.75" customHeight="1" s="25"/>
    <row r="491" ht="15.75" customHeight="1" s="25"/>
    <row r="492" ht="15.75" customHeight="1" s="25"/>
    <row r="493" ht="15.75" customHeight="1" s="25"/>
    <row r="494" ht="15.75" customHeight="1" s="25"/>
    <row r="495" ht="15.75" customHeight="1" s="25"/>
    <row r="496" ht="15.75" customHeight="1" s="25"/>
    <row r="497" ht="15.75" customHeight="1" s="25"/>
    <row r="498" ht="15.75" customHeight="1" s="25"/>
    <row r="499" ht="15.75" customHeight="1" s="25"/>
    <row r="500" ht="15.75" customHeight="1" s="25"/>
    <row r="501" ht="15.75" customHeight="1" s="25"/>
    <row r="502" ht="15.75" customHeight="1" s="25"/>
    <row r="503" ht="15.75" customHeight="1" s="25"/>
    <row r="504" ht="15.75" customHeight="1" s="25"/>
    <row r="505" ht="15.75" customHeight="1" s="25"/>
    <row r="506" ht="15.75" customHeight="1" s="25"/>
    <row r="507" ht="15.75" customHeight="1" s="25"/>
    <row r="508" ht="15.75" customHeight="1" s="25"/>
    <row r="509" ht="15.75" customHeight="1" s="25"/>
    <row r="510" ht="15.75" customHeight="1" s="25"/>
    <row r="511" ht="15.75" customHeight="1" s="25"/>
    <row r="512" ht="15.75" customHeight="1" s="25"/>
    <row r="513" ht="15.75" customHeight="1" s="25"/>
    <row r="514" ht="15.75" customHeight="1" s="25"/>
    <row r="515" ht="15.75" customHeight="1" s="25"/>
    <row r="516" ht="15.75" customHeight="1" s="25"/>
    <row r="517" ht="15.75" customHeight="1" s="25"/>
    <row r="518" ht="15.75" customHeight="1" s="25"/>
    <row r="519" ht="15.75" customHeight="1" s="25"/>
    <row r="520" ht="15.75" customHeight="1" s="25"/>
    <row r="521" ht="15.75" customHeight="1" s="25"/>
    <row r="522" ht="15.75" customHeight="1" s="25"/>
    <row r="523" ht="15.75" customHeight="1" s="25"/>
    <row r="524" ht="15.75" customHeight="1" s="25"/>
    <row r="525" ht="15.75" customHeight="1" s="25"/>
    <row r="526" ht="15.75" customHeight="1" s="25"/>
    <row r="527" ht="15.75" customHeight="1" s="25"/>
    <row r="528" ht="15.75" customHeight="1" s="25"/>
    <row r="529" ht="15.75" customHeight="1" s="25"/>
    <row r="530" ht="15.75" customHeight="1" s="25"/>
    <row r="531" ht="15.75" customHeight="1" s="25"/>
    <row r="532" ht="15.75" customHeight="1" s="25"/>
    <row r="533" ht="15.75" customHeight="1" s="25"/>
    <row r="534" ht="15.75" customHeight="1" s="25"/>
    <row r="535" ht="15.75" customHeight="1" s="25"/>
    <row r="536" ht="15.75" customHeight="1" s="25"/>
    <row r="537" ht="15.75" customHeight="1" s="25"/>
    <row r="538" ht="15.75" customHeight="1" s="25"/>
    <row r="539" ht="15.75" customHeight="1" s="25"/>
    <row r="540" ht="15.75" customHeight="1" s="25"/>
    <row r="541" ht="15.75" customHeight="1" s="25"/>
    <row r="542" ht="15.75" customHeight="1" s="25"/>
    <row r="543" ht="15.75" customHeight="1" s="25"/>
    <row r="544" ht="15.75" customHeight="1" s="25"/>
    <row r="545" ht="15.75" customHeight="1" s="25"/>
    <row r="546" ht="15.75" customHeight="1" s="25"/>
    <row r="547" ht="15.75" customHeight="1" s="25"/>
    <row r="548" ht="15.75" customHeight="1" s="25"/>
    <row r="549" ht="15.75" customHeight="1" s="25"/>
    <row r="550" ht="15.75" customHeight="1" s="25"/>
    <row r="551" ht="15.75" customHeight="1" s="25"/>
    <row r="552" ht="15.75" customHeight="1" s="25"/>
    <row r="553" ht="15.75" customHeight="1" s="25"/>
    <row r="554" ht="15.75" customHeight="1" s="25"/>
    <row r="555" ht="15.75" customHeight="1" s="25"/>
    <row r="556" ht="15.75" customHeight="1" s="25"/>
    <row r="557" ht="15.75" customHeight="1" s="25"/>
    <row r="558" ht="15.75" customHeight="1" s="25"/>
    <row r="559" ht="15.75" customHeight="1" s="25"/>
    <row r="560" ht="15.75" customHeight="1" s="25"/>
    <row r="561" ht="15.75" customHeight="1" s="25"/>
    <row r="562" ht="15.75" customHeight="1" s="25"/>
    <row r="563" ht="15.75" customHeight="1" s="25"/>
    <row r="564" ht="15.75" customHeight="1" s="25"/>
    <row r="565" ht="15.75" customHeight="1" s="25"/>
    <row r="566" ht="15.75" customHeight="1" s="25"/>
    <row r="567" ht="15.75" customHeight="1" s="25"/>
    <row r="568" ht="15.75" customHeight="1" s="25"/>
    <row r="569" ht="15.75" customHeight="1" s="25"/>
    <row r="570" ht="15.75" customHeight="1" s="25"/>
    <row r="571" ht="15.75" customHeight="1" s="25"/>
    <row r="572" ht="15.75" customHeight="1" s="25"/>
    <row r="573" ht="15.75" customHeight="1" s="25"/>
    <row r="574" ht="15.75" customHeight="1" s="25"/>
    <row r="575" ht="15.75" customHeight="1" s="25"/>
    <row r="576" ht="15.75" customHeight="1" s="25"/>
    <row r="577" ht="15.75" customHeight="1" s="25"/>
    <row r="578" ht="15.75" customHeight="1" s="25"/>
    <row r="579" ht="15.75" customHeight="1" s="25"/>
    <row r="580" ht="15.75" customHeight="1" s="25"/>
    <row r="581" ht="15.75" customHeight="1" s="25"/>
    <row r="582" ht="15.75" customHeight="1" s="25"/>
    <row r="583" ht="15.75" customHeight="1" s="25"/>
    <row r="584" ht="15.75" customHeight="1" s="25"/>
    <row r="585" ht="15.75" customHeight="1" s="25"/>
    <row r="586" ht="15.75" customHeight="1" s="25"/>
    <row r="587" ht="15.75" customHeight="1" s="25"/>
    <row r="588" ht="15.75" customHeight="1" s="25"/>
    <row r="589" ht="15.75" customHeight="1" s="25"/>
    <row r="590" ht="15.75" customHeight="1" s="25"/>
    <row r="591" ht="15.75" customHeight="1" s="25"/>
    <row r="592" ht="15.75" customHeight="1" s="25"/>
    <row r="593" ht="15.75" customHeight="1" s="25"/>
    <row r="594" ht="15.75" customHeight="1" s="25"/>
    <row r="595" ht="15.75" customHeight="1" s="25"/>
    <row r="596" ht="15.75" customHeight="1" s="25"/>
    <row r="597" ht="15.75" customHeight="1" s="25"/>
    <row r="598" ht="15.75" customHeight="1" s="25"/>
    <row r="599" ht="15.75" customHeight="1" s="25"/>
    <row r="600" ht="15.75" customHeight="1" s="25"/>
    <row r="601" ht="15.75" customHeight="1" s="25"/>
    <row r="602" ht="15.75" customHeight="1" s="25"/>
    <row r="603" ht="15.75" customHeight="1" s="25"/>
    <row r="604" ht="15.75" customHeight="1" s="25"/>
    <row r="605" ht="15.75" customHeight="1" s="25"/>
    <row r="606" ht="15.75" customHeight="1" s="25"/>
    <row r="607" ht="15.75" customHeight="1" s="25"/>
    <row r="608" ht="15.75" customHeight="1" s="25"/>
    <row r="609" ht="15.75" customHeight="1" s="25"/>
    <row r="610" ht="15.75" customHeight="1" s="25"/>
    <row r="611" ht="15.75" customHeight="1" s="25"/>
    <row r="612" ht="15.75" customHeight="1" s="25"/>
    <row r="613" ht="15.75" customHeight="1" s="25"/>
    <row r="614" ht="15.75" customHeight="1" s="25"/>
    <row r="615" ht="15.75" customHeight="1" s="25"/>
    <row r="616" ht="15.75" customHeight="1" s="25"/>
    <row r="617" ht="15.75" customHeight="1" s="25"/>
    <row r="618" ht="15.75" customHeight="1" s="25"/>
    <row r="619" ht="15.75" customHeight="1" s="25"/>
    <row r="620" ht="15.75" customHeight="1" s="25"/>
    <row r="621" ht="15.75" customHeight="1" s="25"/>
    <row r="622" ht="15.75" customHeight="1" s="25"/>
    <row r="623" ht="15.75" customHeight="1" s="25"/>
    <row r="624" ht="15.75" customHeight="1" s="25"/>
    <row r="625" ht="15.75" customHeight="1" s="25"/>
    <row r="626" ht="15.75" customHeight="1" s="25"/>
    <row r="627" ht="15.75" customHeight="1" s="25"/>
    <row r="628" ht="15.75" customHeight="1" s="25"/>
    <row r="629" ht="15.75" customHeight="1" s="25"/>
    <row r="630" ht="15.75" customHeight="1" s="25"/>
    <row r="631" ht="15.75" customHeight="1" s="25"/>
    <row r="632" ht="15.75" customHeight="1" s="25"/>
    <row r="633" ht="15.75" customHeight="1" s="25"/>
    <row r="634" ht="15.75" customHeight="1" s="25"/>
    <row r="635" ht="15.75" customHeight="1" s="25"/>
    <row r="636" ht="15.75" customHeight="1" s="25"/>
    <row r="637" ht="15.75" customHeight="1" s="25"/>
    <row r="638" ht="15.75" customHeight="1" s="25"/>
    <row r="639" ht="15.75" customHeight="1" s="25"/>
    <row r="640" ht="15.75" customHeight="1" s="25"/>
    <row r="641" ht="15.75" customHeight="1" s="25"/>
    <row r="642" ht="15.75" customHeight="1" s="25"/>
    <row r="643" ht="15.75" customHeight="1" s="25"/>
    <row r="644" ht="15.75" customHeight="1" s="25"/>
    <row r="645" ht="15.75" customHeight="1" s="25"/>
    <row r="646" ht="15.75" customHeight="1" s="25"/>
    <row r="647" ht="15.75" customHeight="1" s="25"/>
    <row r="648" ht="15.75" customHeight="1" s="25"/>
    <row r="649" ht="15.75" customHeight="1" s="25"/>
    <row r="650" ht="15.75" customHeight="1" s="25"/>
    <row r="651" ht="15.75" customHeight="1" s="25"/>
    <row r="652" ht="15.75" customHeight="1" s="25"/>
    <row r="653" ht="15.75" customHeight="1" s="25"/>
    <row r="654" ht="15.75" customHeight="1" s="25"/>
    <row r="655" ht="15.75" customHeight="1" s="25"/>
    <row r="656" ht="15.75" customHeight="1" s="25"/>
    <row r="657" ht="15.75" customHeight="1" s="25"/>
    <row r="658" ht="15.75" customHeight="1" s="25"/>
    <row r="659" ht="15.75" customHeight="1" s="25"/>
    <row r="660" ht="15.75" customHeight="1" s="25"/>
    <row r="661" ht="15.75" customHeight="1" s="25"/>
    <row r="662" ht="15.75" customHeight="1" s="25"/>
    <row r="663" ht="15.75" customHeight="1" s="25"/>
    <row r="664" ht="15.75" customHeight="1" s="25"/>
    <row r="665" ht="15.75" customHeight="1" s="25"/>
    <row r="666" ht="15.75" customHeight="1" s="25"/>
    <row r="667" ht="15.75" customHeight="1" s="25"/>
    <row r="668" ht="15.75" customHeight="1" s="25"/>
    <row r="669" ht="15.75" customHeight="1" s="25"/>
    <row r="670" ht="15.75" customHeight="1" s="25"/>
    <row r="671" ht="15.75" customHeight="1" s="25"/>
    <row r="672" ht="15.75" customHeight="1" s="25"/>
    <row r="673" ht="15.75" customHeight="1" s="25"/>
    <row r="674" ht="15.75" customHeight="1" s="25"/>
    <row r="675" ht="15.75" customHeight="1" s="25"/>
    <row r="676" ht="15.75" customHeight="1" s="25"/>
    <row r="677" ht="15.75" customHeight="1" s="25"/>
    <row r="678" ht="15.75" customHeight="1" s="25"/>
    <row r="679" ht="15.75" customHeight="1" s="25"/>
    <row r="680" ht="15.75" customHeight="1" s="25"/>
    <row r="681" ht="15.75" customHeight="1" s="25"/>
    <row r="682" ht="15.75" customHeight="1" s="25"/>
    <row r="683" ht="15.75" customHeight="1" s="25"/>
    <row r="684" ht="15.75" customHeight="1" s="25"/>
    <row r="685" ht="15.75" customHeight="1" s="25"/>
    <row r="686" ht="15.75" customHeight="1" s="25"/>
    <row r="687" ht="15.75" customHeight="1" s="25"/>
    <row r="688" ht="15.75" customHeight="1" s="25"/>
    <row r="689" ht="15.75" customHeight="1" s="25"/>
    <row r="690" ht="15.75" customHeight="1" s="25"/>
    <row r="691" ht="15.75" customHeight="1" s="25"/>
    <row r="692" ht="15.75" customHeight="1" s="25"/>
    <row r="693" ht="15.75" customHeight="1" s="25"/>
    <row r="694" ht="15.75" customHeight="1" s="25"/>
    <row r="695" ht="15.75" customHeight="1" s="25"/>
    <row r="696" ht="15.75" customHeight="1" s="25"/>
    <row r="697" ht="15.75" customHeight="1" s="25"/>
    <row r="698" ht="15.75" customHeight="1" s="25"/>
    <row r="699" ht="15.75" customHeight="1" s="25"/>
    <row r="700" ht="15.75" customHeight="1" s="25"/>
    <row r="701" ht="15.75" customHeight="1" s="25"/>
    <row r="702" ht="15.75" customHeight="1" s="25"/>
    <row r="703" ht="15.75" customHeight="1" s="25"/>
    <row r="704" ht="15.75" customHeight="1" s="25"/>
    <row r="705" ht="15.75" customHeight="1" s="25"/>
    <row r="706" ht="15.75" customHeight="1" s="25"/>
    <row r="707" ht="15.75" customHeight="1" s="25"/>
    <row r="708" ht="15.75" customHeight="1" s="25"/>
    <row r="709" ht="15.75" customHeight="1" s="25"/>
    <row r="710" ht="15.75" customHeight="1" s="25"/>
    <row r="711" ht="15.75" customHeight="1" s="25"/>
    <row r="712" ht="15.75" customHeight="1" s="25"/>
    <row r="713" ht="15.75" customHeight="1" s="25"/>
    <row r="714" ht="15.75" customHeight="1" s="25"/>
    <row r="715" ht="15.75" customHeight="1" s="25"/>
    <row r="716" ht="15.75" customHeight="1" s="25"/>
    <row r="717" ht="15.75" customHeight="1" s="25"/>
    <row r="718" ht="15.75" customHeight="1" s="25"/>
    <row r="719" ht="15.75" customHeight="1" s="25"/>
    <row r="720" ht="15.75" customHeight="1" s="25"/>
    <row r="721" ht="15.75" customHeight="1" s="25"/>
    <row r="722" ht="15.75" customHeight="1" s="25"/>
    <row r="723" ht="15.75" customHeight="1" s="25"/>
    <row r="724" ht="15.75" customHeight="1" s="25"/>
    <row r="725" ht="15.75" customHeight="1" s="25"/>
    <row r="726" ht="15.75" customHeight="1" s="25"/>
    <row r="727" ht="15.75" customHeight="1" s="25"/>
    <row r="728" ht="15.75" customHeight="1" s="25"/>
    <row r="729" ht="15.75" customHeight="1" s="25"/>
    <row r="730" ht="15.75" customHeight="1" s="25"/>
    <row r="731" ht="15.75" customHeight="1" s="25"/>
    <row r="732" ht="15.75" customHeight="1" s="25"/>
    <row r="733" ht="15.75" customHeight="1" s="25"/>
    <row r="734" ht="15.75" customHeight="1" s="25"/>
    <row r="735" ht="15.75" customHeight="1" s="25"/>
    <row r="736" ht="15.75" customHeight="1" s="25"/>
    <row r="737" ht="15.75" customHeight="1" s="25"/>
    <row r="738" ht="15.75" customHeight="1" s="25"/>
    <row r="739" ht="15.75" customHeight="1" s="25"/>
    <row r="740" ht="15.75" customHeight="1" s="25"/>
    <row r="741" ht="15.75" customHeight="1" s="25"/>
    <row r="742" ht="15.75" customHeight="1" s="25"/>
    <row r="743" ht="15.75" customHeight="1" s="25"/>
    <row r="744" ht="15.75" customHeight="1" s="25"/>
    <row r="745" ht="15.75" customHeight="1" s="25"/>
    <row r="746" ht="15.75" customHeight="1" s="25"/>
    <row r="747" ht="15.75" customHeight="1" s="25"/>
    <row r="748" ht="15.75" customHeight="1" s="25"/>
    <row r="749" ht="15.75" customHeight="1" s="25"/>
    <row r="750" ht="15.75" customHeight="1" s="25"/>
    <row r="751" ht="15.75" customHeight="1" s="25"/>
    <row r="752" ht="15.75" customHeight="1" s="25"/>
    <row r="753" ht="15.75" customHeight="1" s="25"/>
    <row r="754" ht="15.75" customHeight="1" s="25"/>
    <row r="755" ht="15.75" customHeight="1" s="25"/>
    <row r="756" ht="15.75" customHeight="1" s="25"/>
    <row r="757" ht="15.75" customHeight="1" s="25"/>
    <row r="758" ht="15.75" customHeight="1" s="25"/>
    <row r="759" ht="15.75" customHeight="1" s="25"/>
    <row r="760" ht="15.75" customHeight="1" s="25"/>
    <row r="761" ht="15.75" customHeight="1" s="25"/>
    <row r="762" ht="15.75" customHeight="1" s="25"/>
    <row r="763" ht="15.75" customHeight="1" s="25"/>
    <row r="764" ht="15.75" customHeight="1" s="25"/>
    <row r="765" ht="15.75" customHeight="1" s="25"/>
    <row r="766" ht="15.75" customHeight="1" s="25"/>
    <row r="767" ht="15.75" customHeight="1" s="25"/>
    <row r="768" ht="15.75" customHeight="1" s="25"/>
    <row r="769" ht="15.75" customHeight="1" s="25"/>
    <row r="770" ht="15.75" customHeight="1" s="25"/>
    <row r="771" ht="15.75" customHeight="1" s="25"/>
    <row r="772" ht="15.75" customHeight="1" s="25"/>
    <row r="773" ht="15.75" customHeight="1" s="25"/>
    <row r="774" ht="15.75" customHeight="1" s="25"/>
    <row r="775" ht="15.75" customHeight="1" s="25"/>
    <row r="776" ht="15.75" customHeight="1" s="25"/>
    <row r="777" ht="15.75" customHeight="1" s="25"/>
    <row r="778" ht="15.75" customHeight="1" s="25"/>
    <row r="779" ht="15.75" customHeight="1" s="25"/>
    <row r="780" ht="15.75" customHeight="1" s="25"/>
    <row r="781" ht="15.75" customHeight="1" s="25"/>
    <row r="782" ht="15.75" customHeight="1" s="25"/>
    <row r="783" ht="15.75" customHeight="1" s="25"/>
    <row r="784" ht="15.75" customHeight="1" s="25"/>
    <row r="785" ht="15.75" customHeight="1" s="25"/>
    <row r="786" ht="15.75" customHeight="1" s="25"/>
    <row r="787" ht="15.75" customHeight="1" s="25"/>
    <row r="788" ht="15.75" customHeight="1" s="25"/>
    <row r="789" ht="15.75" customHeight="1" s="25"/>
    <row r="790" ht="15.75" customHeight="1" s="25"/>
    <row r="791" ht="15.75" customHeight="1" s="25"/>
    <row r="792" ht="15.75" customHeight="1" s="25"/>
    <row r="793" ht="15.75" customHeight="1" s="25"/>
    <row r="794" ht="15.75" customHeight="1" s="25"/>
    <row r="795" ht="15.75" customHeight="1" s="25"/>
    <row r="796" ht="15.75" customHeight="1" s="25"/>
    <row r="797" ht="15.75" customHeight="1" s="25"/>
    <row r="798" ht="15.75" customHeight="1" s="25"/>
    <row r="799" ht="15.75" customHeight="1" s="25"/>
    <row r="800" ht="15.75" customHeight="1" s="25"/>
    <row r="801" ht="15.75" customHeight="1" s="25"/>
    <row r="802" ht="15.75" customHeight="1" s="25"/>
    <row r="803" ht="15.75" customHeight="1" s="25"/>
    <row r="804" ht="15.75" customHeight="1" s="25"/>
    <row r="805" ht="15.75" customHeight="1" s="25"/>
    <row r="806" ht="15.75" customHeight="1" s="25"/>
    <row r="807" ht="15.75" customHeight="1" s="25"/>
    <row r="808" ht="15.75" customHeight="1" s="25"/>
    <row r="809" ht="15.75" customHeight="1" s="25"/>
    <row r="810" ht="15.75" customHeight="1" s="25"/>
    <row r="811" ht="15.75" customHeight="1" s="25"/>
    <row r="812" ht="15.75" customHeight="1" s="25"/>
    <row r="813" ht="15.75" customHeight="1" s="25"/>
    <row r="814" ht="15.75" customHeight="1" s="25"/>
    <row r="815" ht="15.75" customHeight="1" s="25"/>
    <row r="816" ht="15.75" customHeight="1" s="25"/>
    <row r="817" ht="15.75" customHeight="1" s="25"/>
    <row r="818" ht="15.75" customHeight="1" s="25"/>
    <row r="819" ht="15.75" customHeight="1" s="25"/>
    <row r="820" ht="15.75" customHeight="1" s="25"/>
    <row r="821" ht="15.75" customHeight="1" s="25"/>
    <row r="822" ht="15.75" customHeight="1" s="25"/>
    <row r="823" ht="15.75" customHeight="1" s="25"/>
    <row r="824" ht="15.75" customHeight="1" s="25"/>
    <row r="825" ht="15.75" customHeight="1" s="25"/>
    <row r="826" ht="15.75" customHeight="1" s="25"/>
    <row r="827" ht="15.75" customHeight="1" s="25"/>
    <row r="828" ht="15.75" customHeight="1" s="25"/>
    <row r="829" ht="15.75" customHeight="1" s="25"/>
    <row r="830" ht="15.75" customHeight="1" s="25"/>
    <row r="831" ht="15.75" customHeight="1" s="25"/>
    <row r="832" ht="15.75" customHeight="1" s="25"/>
    <row r="833" ht="15.75" customHeight="1" s="25"/>
    <row r="834" ht="15.75" customHeight="1" s="25"/>
    <row r="835" ht="15.75" customHeight="1" s="25"/>
    <row r="836" ht="15.75" customHeight="1" s="25"/>
    <row r="837" ht="15.75" customHeight="1" s="25"/>
    <row r="838" ht="15.75" customHeight="1" s="25"/>
    <row r="839" ht="15.75" customHeight="1" s="25"/>
    <row r="840" ht="15.75" customHeight="1" s="25"/>
    <row r="841" ht="15.75" customHeight="1" s="25"/>
    <row r="842" ht="15.75" customHeight="1" s="25"/>
    <row r="843" ht="15.75" customHeight="1" s="25"/>
    <row r="844" ht="15.75" customHeight="1" s="25"/>
    <row r="845" ht="15.75" customHeight="1" s="25"/>
    <row r="846" ht="15.75" customHeight="1" s="25"/>
    <row r="847" ht="15.75" customHeight="1" s="25"/>
    <row r="848" ht="15.75" customHeight="1" s="25"/>
    <row r="849" ht="15.75" customHeight="1" s="25"/>
    <row r="850" ht="15.75" customHeight="1" s="25"/>
    <row r="851" ht="15.75" customHeight="1" s="25"/>
    <row r="852" ht="15.75" customHeight="1" s="25"/>
    <row r="853" ht="15.75" customHeight="1" s="25"/>
    <row r="854" ht="15.75" customHeight="1" s="25"/>
    <row r="855" ht="15.75" customHeight="1" s="25"/>
    <row r="856" ht="15.75" customHeight="1" s="25"/>
    <row r="857" ht="15.75" customHeight="1" s="25"/>
    <row r="858" ht="15.75" customHeight="1" s="25"/>
    <row r="859" ht="15.75" customHeight="1" s="25"/>
    <row r="860" ht="15.75" customHeight="1" s="25"/>
    <row r="861" ht="15.75" customHeight="1" s="25"/>
    <row r="862" ht="15.75" customHeight="1" s="25"/>
    <row r="863" ht="15.75" customHeight="1" s="25"/>
    <row r="864" ht="15.75" customHeight="1" s="25"/>
    <row r="865" ht="15.75" customHeight="1" s="25"/>
    <row r="866" ht="15.75" customHeight="1" s="25"/>
    <row r="867" ht="15.75" customHeight="1" s="25"/>
    <row r="868" ht="15.75" customHeight="1" s="25"/>
    <row r="869" ht="15.75" customHeight="1" s="25"/>
    <row r="870" ht="15.75" customHeight="1" s="25"/>
    <row r="871" ht="15.75" customHeight="1" s="25"/>
    <row r="872" ht="15.75" customHeight="1" s="25"/>
    <row r="873" ht="15.75" customHeight="1" s="25"/>
    <row r="874" ht="15.75" customHeight="1" s="25"/>
    <row r="875" ht="15.75" customHeight="1" s="25"/>
    <row r="876" ht="15.75" customHeight="1" s="25"/>
    <row r="877" ht="15.75" customHeight="1" s="25"/>
    <row r="878" ht="15.75" customHeight="1" s="25"/>
    <row r="879" ht="15.75" customHeight="1" s="25"/>
    <row r="880" ht="15.75" customHeight="1" s="25"/>
    <row r="881" ht="15.75" customHeight="1" s="25"/>
    <row r="882" ht="15.75" customHeight="1" s="25"/>
    <row r="883" ht="15.75" customHeight="1" s="25"/>
    <row r="884" ht="15.75" customHeight="1" s="25"/>
    <row r="885" ht="15.75" customHeight="1" s="25"/>
    <row r="886" ht="15.75" customHeight="1" s="25"/>
    <row r="887" ht="15.75" customHeight="1" s="25"/>
    <row r="888" ht="15.75" customHeight="1" s="25"/>
    <row r="889" ht="15.75" customHeight="1" s="25"/>
    <row r="890" ht="15.75" customHeight="1" s="25"/>
    <row r="891" ht="15.75" customHeight="1" s="25"/>
    <row r="892" ht="15.75" customHeight="1" s="25"/>
    <row r="893" ht="15.75" customHeight="1" s="25"/>
    <row r="894" ht="15.75" customHeight="1" s="25"/>
    <row r="895" ht="15.75" customHeight="1" s="25"/>
    <row r="896" ht="15.75" customHeight="1" s="25"/>
    <row r="897" ht="15.75" customHeight="1" s="25"/>
    <row r="898" ht="15.75" customHeight="1" s="25"/>
    <row r="899" ht="15.75" customHeight="1" s="25"/>
    <row r="900" ht="15.75" customHeight="1" s="25"/>
    <row r="901" ht="15.75" customHeight="1" s="25"/>
    <row r="902" ht="15.75" customHeight="1" s="25"/>
    <row r="903" ht="15.75" customHeight="1" s="25"/>
    <row r="904" ht="15.75" customHeight="1" s="25"/>
    <row r="905" ht="15.75" customHeight="1" s="25"/>
    <row r="906" ht="15.75" customHeight="1" s="25"/>
    <row r="907" ht="15.75" customHeight="1" s="25"/>
    <row r="908" ht="15.75" customHeight="1" s="25"/>
    <row r="909" ht="15.75" customHeight="1" s="25"/>
    <row r="910" ht="15.75" customHeight="1" s="25"/>
    <row r="911" ht="15.75" customHeight="1" s="25"/>
    <row r="912" ht="15.75" customHeight="1" s="25"/>
    <row r="913" ht="15.75" customHeight="1" s="25"/>
    <row r="914" ht="15.75" customHeight="1" s="25"/>
    <row r="915" ht="15.75" customHeight="1" s="25"/>
    <row r="916" ht="15.75" customHeight="1" s="25"/>
    <row r="917" ht="15.75" customHeight="1" s="25"/>
    <row r="918" ht="15.75" customHeight="1" s="25"/>
    <row r="919" ht="15.75" customHeight="1" s="25"/>
    <row r="920" ht="15.75" customHeight="1" s="25"/>
    <row r="921" ht="15.75" customHeight="1" s="25"/>
    <row r="922" ht="15.75" customHeight="1" s="25"/>
    <row r="923" ht="15.75" customHeight="1" s="25"/>
    <row r="924" ht="15.75" customHeight="1" s="25"/>
    <row r="925" ht="15.75" customHeight="1" s="25"/>
    <row r="926" ht="15.75" customHeight="1" s="25"/>
    <row r="927" ht="15.75" customHeight="1" s="25"/>
    <row r="928" ht="15.75" customHeight="1" s="25"/>
    <row r="929" ht="15.75" customHeight="1" s="25"/>
    <row r="930" ht="15.75" customHeight="1" s="25"/>
    <row r="931" ht="15.75" customHeight="1" s="25"/>
    <row r="932" ht="15.75" customHeight="1" s="25"/>
    <row r="933" ht="15.75" customHeight="1" s="25"/>
    <row r="934" ht="15.75" customHeight="1" s="25"/>
    <row r="935" ht="15.75" customHeight="1" s="25"/>
    <row r="936" ht="15.75" customHeight="1" s="25"/>
    <row r="937" ht="15.75" customHeight="1" s="25"/>
    <row r="938" ht="15.75" customHeight="1" s="25"/>
    <row r="939" ht="15.75" customHeight="1" s="25"/>
    <row r="940" ht="15.75" customHeight="1" s="25"/>
    <row r="941" ht="15.75" customHeight="1" s="25"/>
    <row r="942" ht="15.75" customHeight="1" s="25"/>
    <row r="943" ht="15.75" customHeight="1" s="25"/>
    <row r="944" ht="15.75" customHeight="1" s="25"/>
    <row r="945" ht="15.75" customHeight="1" s="25"/>
    <row r="946" ht="15.75" customHeight="1" s="25"/>
    <row r="947" ht="15.75" customHeight="1" s="25"/>
    <row r="948" ht="15.75" customHeight="1" s="25"/>
    <row r="949" ht="15.75" customHeight="1" s="25"/>
    <row r="950" ht="15.75" customHeight="1" s="25"/>
    <row r="951" ht="15.75" customHeight="1" s="25"/>
    <row r="952" ht="15.75" customHeight="1" s="25"/>
    <row r="953" ht="15.75" customHeight="1" s="25"/>
    <row r="954" ht="15.75" customHeight="1" s="25"/>
    <row r="955" ht="15.75" customHeight="1" s="25"/>
    <row r="956" ht="15.75" customHeight="1" s="25"/>
    <row r="957" ht="15.75" customHeight="1" s="25"/>
    <row r="958" ht="15.75" customHeight="1" s="25"/>
    <row r="959" ht="15.75" customHeight="1" s="25"/>
    <row r="960" ht="15.75" customHeight="1" s="25"/>
    <row r="961" ht="15.75" customHeight="1" s="25"/>
    <row r="962" ht="15.75" customHeight="1" s="25"/>
    <row r="963" ht="15.75" customHeight="1" s="25"/>
    <row r="964" ht="15.75" customHeight="1" s="25"/>
    <row r="965" ht="15.75" customHeight="1" s="25"/>
    <row r="966" ht="15.75" customHeight="1" s="25"/>
    <row r="967" ht="15.75" customHeight="1" s="25"/>
    <row r="968" ht="15.75" customHeight="1" s="25"/>
    <row r="969" ht="15.75" customHeight="1" s="25"/>
    <row r="970" ht="15.75" customHeight="1" s="25"/>
    <row r="971" ht="15.75" customHeight="1" s="25"/>
    <row r="972" ht="15.75" customHeight="1" s="25"/>
    <row r="973" ht="15.75" customHeight="1" s="25"/>
    <row r="974" ht="15.75" customHeight="1" s="25"/>
    <row r="975" ht="15.75" customHeight="1" s="25"/>
    <row r="976" ht="15.75" customHeight="1" s="25"/>
    <row r="977" ht="15.75" customHeight="1" s="25"/>
    <row r="978" ht="15.75" customHeight="1" s="25"/>
    <row r="979" ht="15.75" customHeight="1" s="25"/>
    <row r="980" ht="15.75" customHeight="1" s="25"/>
    <row r="981" ht="15.75" customHeight="1" s="25"/>
    <row r="982" ht="15.75" customHeight="1" s="25"/>
    <row r="983" ht="15.75" customHeight="1" s="25"/>
    <row r="984" ht="15.75" customHeight="1" s="25"/>
    <row r="985" ht="15.75" customHeight="1" s="25"/>
    <row r="986" ht="15.75" customHeight="1" s="25"/>
    <row r="987" ht="15.75" customHeight="1" s="25"/>
    <row r="988" ht="15.75" customHeight="1" s="25"/>
    <row r="989" ht="15.75" customHeight="1" s="25"/>
    <row r="990" ht="15.75" customHeight="1" s="25"/>
    <row r="991" ht="15.75" customHeight="1" s="25"/>
    <row r="992" ht="15.75" customHeight="1" s="25"/>
    <row r="993" ht="15.75" customHeight="1" s="25"/>
    <row r="994" ht="15.75" customHeight="1" s="25"/>
    <row r="995" ht="15.75" customHeight="1" s="25"/>
    <row r="996" ht="15.75" customHeight="1" s="25"/>
    <row r="997" ht="15.75" customHeight="1" s="25"/>
    <row r="998" ht="15.75" customHeight="1" s="25"/>
    <row r="999" ht="15.75" customHeight="1" s="25"/>
    <row r="1000" ht="15.75" customHeight="1" s="25"/>
  </sheetData>
  <autoFilter ref="A4:J16"/>
  <mergeCells count="2">
    <mergeCell ref="A1:J1"/>
    <mergeCell ref="A2:J2"/>
  </mergeCells>
  <conditionalFormatting sqref="A5:J16">
    <cfRule type="expression" rank="0" priority="2" equalAverage="0" aboveAverage="0" dxfId="7" text="" percent="0" bottom="0">
      <formula>$E5="Built"</formula>
    </cfRule>
    <cfRule type="expression" rank="0" priority="3" equalAverage="0" aboveAverage="0" dxfId="8" text="" percent="0" bottom="0">
      <formula>$E5="Verify"</formula>
    </cfRule>
    <cfRule type="expression" rank="0" priority="4" equalAverage="0" aboveAverage="0" dxfId="9" text="" percent="0" bottom="0">
      <formula>$E5="To build"</formula>
    </cfRule>
    <cfRule type="expression" rank="0" priority="5" equalAverage="0" aboveAverage="0" dxfId="10" text="" percent="0" bottom="0">
      <formula>$E5="Deferred"</formula>
    </cfRule>
    <cfRule type="expression" rank="0" priority="6" equalAverage="0" aboveAverage="0" dxfId="10" text="" percent="0" bottom="0">
      <formula>$E5="Closed"</formula>
    </cfRule>
  </conditionalFormatting>
  <dataValidations count="1">
    <dataValidation sqref="E5:E16" showDropDown="0" showInputMessage="0" showErrorMessage="0" allowBlank="1" type="list" errorStyle="stop" operator="between">
      <formula1>"Built,Verify,To build,Deferred,Closed"</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E27"/>
  <sheetViews>
    <sheetView showFormulas="0" showGridLines="1" showRowColHeaders="1" showZeros="1" rightToLeft="0" tabSelected="0" showOutlineSymbols="1" defaultGridColor="1"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C5" activeCellId="0" sqref="C5"/>
    </sheetView>
  </sheetViews>
  <sheetFormatPr baseColWidth="8" defaultColWidth="14.43359375" defaultRowHeight="15" zeroHeight="0" outlineLevelRow="0"/>
  <cols>
    <col width="8" customWidth="1" style="24" min="1" max="1"/>
    <col width="26" customWidth="1" style="24" min="2" max="2"/>
    <col width="80" customWidth="1" style="24" min="3" max="3"/>
    <col width="22" customWidth="1" style="24" min="4" max="4"/>
    <col width="44" customWidth="1" style="24" min="5" max="5"/>
    <col width="8.710000000000001" customWidth="1" style="24" min="6" max="26"/>
  </cols>
  <sheetData>
    <row r="1" ht="25.5" customHeight="1" s="25">
      <c r="A1" s="26" t="inlineStr">
        <is>
          <t>Rules</t>
        </is>
      </c>
    </row>
    <row r="2" ht="30" customHeight="1" s="25">
      <c r="A2" s="29" t="inlineStr">
        <is>
          <t>Standing rules that apply across many rows. Rows point here in the Decided in column.</t>
        </is>
      </c>
    </row>
    <row r="3" ht="15" customHeight="1" s="25"/>
    <row r="4" ht="30" customHeight="1" s="25">
      <c r="A4" s="43" t="inlineStr">
        <is>
          <t>Ref</t>
        </is>
      </c>
      <c r="B4" s="43" t="inlineStr">
        <is>
          <t>Rule</t>
        </is>
      </c>
      <c r="C4" s="43" t="inlineStr">
        <is>
          <t>What it says</t>
        </is>
      </c>
      <c r="D4" s="43" t="inlineStr">
        <is>
          <t>Owner</t>
        </is>
      </c>
      <c r="E4" s="43" t="inlineStr">
        <is>
          <t>Note</t>
        </is>
      </c>
    </row>
    <row r="5" ht="15" customHeight="1" s="25">
      <c r="A5" s="44" t="inlineStr">
        <is>
          <t>X-01</t>
        </is>
      </c>
      <c r="B5" s="45" t="inlineStr">
        <is>
          <t>Owner of client-side events</t>
        </is>
      </c>
      <c r="C5" s="45" t="inlineStr">
        <is>
          <t>Aravinth owns E2, E3 and E13, as the contact for the Flutter app.</t>
        </is>
      </c>
      <c r="D5" s="45" t="inlineStr">
        <is>
          <t>Aravinth</t>
        </is>
      </c>
      <c r="E5" s="45" t="n"/>
    </row>
    <row r="6" ht="63.75" customHeight="1" s="25">
      <c r="A6" s="44" t="inlineStr">
        <is>
          <t>X-02</t>
        </is>
      </c>
      <c r="B6" s="45" t="inlineStr">
        <is>
          <t>One event path</t>
        </is>
      </c>
      <c r="C6" s="45" t="inlineStr">
        <is>
          <t>Every event is recorded once, in the platform database: the app sends E2, E3 and E13 to SOCO_BE POST /events in batches, and SOCO_BE records its own actions and orders (postevents, orders, recommendationrequests). The engine reads them with its sync by updated_at (build list ENG-04) and never receives events directly. POST /v1/events and forwarding are retired. The older collections move into postevents in the production migration (DB-16).</t>
        </is>
      </c>
      <c r="D6" s="45" t="inlineStr">
        <is>
          <t>Aravinth (records); Allen (sync)</t>
        </is>
      </c>
      <c r="E6" s="45" t="inlineStr">
        <is>
          <t>28 Sep 2026: Changed from forwarding to the engine sync.</t>
        </is>
      </c>
    </row>
    <row r="7" ht="38.25" customHeight="1" s="25">
      <c r="A7" s="44" t="inlineStr">
        <is>
          <t>X-03</t>
        </is>
      </c>
      <c r="B7" s="45" t="inlineStr">
        <is>
          <t>Every feed list emits events</t>
        </is>
      </c>
      <c r="C7" s="45" t="inlineStr">
        <is>
          <t>Every list on the feed and product surfaces produces the events, whether the engine or the fallback produced it. Fallback lists keep the platform's policy_id and their recommendationrequests row. SOCO_BE writes one rec_serve_log row per list request (F80).</t>
        </is>
      </c>
      <c r="D7" s="45" t="inlineStr">
        <is>
          <t>Aravinth</t>
        </is>
      </c>
      <c r="E7" s="45" t="inlineStr">
        <is>
          <t>29 Sep 2026: Delivered-list record removed.</t>
        </is>
      </c>
    </row>
    <row r="8" ht="25.5" customHeight="1" s="25">
      <c r="A8" s="44" t="inlineStr">
        <is>
          <t>X-04</t>
        </is>
      </c>
      <c r="B8" s="45" t="inlineStr">
        <is>
          <t>Seen, and a qualified view</t>
        </is>
      </c>
      <c r="C8" s="45" t="inlineStr">
        <is>
          <t>Seen means at least 50% of the item is on screen, for every media type. A qualified view is seen and on screen for at least 3,000 ms. Video play and pause thresholds are separate.</t>
        </is>
      </c>
      <c r="D8" s="45" t="inlineStr">
        <is>
          <t>Aravinth</t>
        </is>
      </c>
      <c r="E8" s="45" t="n"/>
    </row>
    <row r="9" ht="38.25" customHeight="1" s="25">
      <c r="A9" s="44" t="inlineStr">
        <is>
          <t>X-05</t>
        </is>
      </c>
      <c r="B9" s="45" t="inlineStr">
        <is>
          <t>When an impression is sent</t>
        </is>
      </c>
      <c r="C9" s="45" t="inlineStr">
        <is>
          <t>One impression per item per list, sent on leave or app background, with dwell_ms for the first spell. Not resent in the same list. Unseen items are not sent; they come from served_items and seen_ids. Post-page (post_detail) impressions are page visits, not card impressions.</t>
        </is>
      </c>
      <c r="D9" s="45" t="inlineStr">
        <is>
          <t>Aravinth</t>
        </is>
      </c>
      <c r="E9" s="45" t="n"/>
    </row>
    <row r="10" ht="25.5" customHeight="1" s="25">
      <c r="A10" s="44" t="inlineStr">
        <is>
          <t>X-06</t>
        </is>
      </c>
      <c r="B10" s="45" t="inlineStr">
        <is>
          <t>Position numbering</t>
        </is>
      </c>
      <c r="C10" s="45" t="inlineStr">
        <is>
          <t>Position counts from 1, in on-screen order, within each request, with no gaps. Each page is its own request. 0 is invalid. SOCO_BE shows engine lists unchanged.</t>
        </is>
      </c>
      <c r="D10" s="45" t="inlineStr">
        <is>
          <t>Aravinth</t>
        </is>
      </c>
      <c r="E10" s="45" t="inlineStr">
        <is>
          <t>29 Sep 2026: engine_position removed.</t>
        </is>
      </c>
    </row>
    <row r="11" ht="25.5" customHeight="1" s="25">
      <c r="A11" s="44" t="inlineStr">
        <is>
          <t>X-07</t>
        </is>
      </c>
      <c r="B11" s="45" t="inlineStr">
        <is>
          <t>How request_id travels</t>
        </is>
      </c>
      <c r="C11" s="45" t="inlineStr">
        <is>
          <t>request_id travels with the item: card → product detail → cart item → order. The cart item keeps the list that first added it (carts.ml); quantity changes, removal and an order without context carry that list; a re-add from another list is credited to that list. Any action not reached from a served list carries null. This is attribution only; commission rules are separate.</t>
        </is>
      </c>
      <c r="D11" s="45" t="inlineStr">
        <is>
          <t>Aravinth</t>
        </is>
      </c>
      <c r="E11" s="45" t="inlineStr">
        <is>
          <t>28 Sep 2026: Adopted as built (answers Q4).</t>
        </is>
      </c>
    </row>
    <row r="12" ht="51" customHeight="1" s="25">
      <c r="A12" s="44" t="inlineStr">
        <is>
          <t>X-08</t>
        </is>
      </c>
      <c r="B12" s="45" t="inlineStr">
        <is>
          <t>Retention of raw events</t>
        </is>
      </c>
      <c r="C12" s="45" t="inlineStr">
        <is>
          <t>Platform: 90-day expiry on short-lived postevents types (impression, click, product_view, video_play, video_complete, search, variant_select, checkout_start) and on recommendationrequests; other types kept. Engine: copies kept at least 365 days from the event time, under its own expiry, which the platform expiry never touches. Routine expiry is not account deletion (build list DB-15, ENG-28).</t>
        </is>
      </c>
      <c r="D12" s="45" t="inlineStr">
        <is>
          <t>Aravinth; Allen for engine copies</t>
        </is>
      </c>
      <c r="E12" s="45" t="inlineStr">
        <is>
          <t>28 Sep 2026: Replaces the platform-side 365-day raise.</t>
        </is>
      </c>
    </row>
    <row r="13" ht="38.25" customHeight="1" s="25">
      <c r="A13" s="44" t="inlineStr">
        <is>
          <t>X-09</t>
        </is>
      </c>
      <c r="B13" s="45" t="inlineStr">
        <is>
          <t>Incognito</t>
        </is>
      </c>
      <c r="C13" s="45" t="inlineStr">
        <is>
          <t>Incognito is purchase privacy only. Events, served lists and orders are recorded as normal (isIncognitoMode true on the order). The buyer's own recommendations and anonymous totals may use incognito orders. A buyer's identity from an incognito order is never shown to anyone else; an order with no value is treated as incognito for displays that name buyers. Fraud rules read incognito orders.</t>
        </is>
      </c>
      <c r="D13" s="45" t="inlineStr">
        <is>
          <t>Aravinth; Allen for engine outputs</t>
        </is>
      </c>
      <c r="E13" s="45" t="inlineStr">
        <is>
          <t>28 Sep 2026: Product Owner decision. Build list APP-04.</t>
        </is>
      </c>
    </row>
    <row r="14" ht="51" customHeight="1" s="25">
      <c r="A14" s="44" t="inlineStr">
        <is>
          <t>X-10</t>
        </is>
      </c>
      <c r="B14" s="45" t="inlineStr">
        <is>
          <t>App session identifier</t>
        </is>
      </c>
      <c r="C14" s="45" t="inlineStr">
        <is>
          <t>One app session id, minted by the app's SessionService (ses_…), kept across restarts, new after 30 minutes or more away (background or closed), and not expiring during use. user_sessions is the login record and is not this identifier.</t>
        </is>
      </c>
      <c r="D14" s="45" t="inlineStr">
        <is>
          <t>Aravinth</t>
        </is>
      </c>
      <c r="E14" s="45" t="inlineStr">
        <is>
          <t>28 Sep 2026: Reported built; device check in build list APP-01.</t>
        </is>
      </c>
    </row>
    <row r="15" ht="25.5" customHeight="1" s="25">
      <c r="A15" s="44" t="inlineStr">
        <is>
          <t>X-11</t>
        </is>
      </c>
      <c r="B15" s="45" t="inlineStr">
        <is>
          <t>Launch surfaces</t>
        </is>
      </c>
      <c r="C15" s="45" t="inlineStr">
        <is>
          <t>Wave 1A surfaces are feed (the home feed) and product (product detail and cart). No opportunity surface. If both cannot launch together, feed goes first.</t>
        </is>
      </c>
      <c r="D15" s="45" t="inlineStr">
        <is>
          <t>Aravinth</t>
        </is>
      </c>
      <c r="E15" s="45" t="n"/>
    </row>
    <row r="16" ht="25.5" customHeight="1" s="25">
      <c r="A16" s="44" t="inlineStr">
        <is>
          <t>X-12</t>
        </is>
      </c>
      <c r="B16" s="45" t="inlineStr">
        <is>
          <t>Content feedback event</t>
        </is>
      </c>
      <c r="C16" s="45" t="inlineStr">
        <is>
          <t>E13 content_feedback is sent on not interested, hide, report or mute author. Fields F60 to F65.</t>
        </is>
      </c>
      <c r="D16" s="45" t="inlineStr">
        <is>
          <t>Aravinth</t>
        </is>
      </c>
      <c r="E16" s="45" t="n"/>
    </row>
    <row r="17" ht="38.25" customHeight="1" s="25">
      <c r="A17" s="44" t="inlineStr">
        <is>
          <t>X-13</t>
        </is>
      </c>
      <c r="B17" s="45" t="inlineStr">
        <is>
          <t>One order status field</t>
        </is>
      </c>
      <c r="C17" s="45" t="inlineStr">
        <is>
          <t>E6 reads order_status only. When order_status becomes Delivered, seller_delivery_status is written in the same save. Other status fields stay for operations and are not read by the engine.</t>
        </is>
      </c>
      <c r="D17" s="45" t="inlineStr">
        <is>
          <t>Aravinth</t>
        </is>
      </c>
      <c r="E17" s="45" t="inlineStr">
        <is>
          <t>Built by APP-09. order_status has no transition guard, so the engine never assumes states arrive in order.</t>
        </is>
      </c>
    </row>
    <row r="18" ht="153" customHeight="1" s="25">
      <c r="A18" s="44" t="inlineStr">
        <is>
          <t>X-14</t>
        </is>
      </c>
      <c r="B18" s="45" t="inlineStr">
        <is>
          <t>Attribution fields on postevents</t>
        </is>
      </c>
      <c r="C18" s="45" t="inlineStr">
        <is>
          <t>Fields on postevents that are filled only on some event types:
- product_id and variant_id: product events and product posts.
- order_id and checkout_id: purchase rows (checkout_id also on checkout_start).
- session_id: every row, the app session id (X-10).
- dwell_ms: impressions (first spell), views (longest watch or time on the post page) and product_view. It replaces view_duration_seconds.
- referral_code: not filled in Wave 1A.
- viewer_city, viewer_gender, viewer_district, viewer_is_business: stamped on view rows by the platform for Influencer Analytics. The engine does not use them; it reads demographics from the user record.</t>
        </is>
      </c>
      <c r="D18" s="45" t="inlineStr">
        <is>
          <t>Aravinth</t>
        </is>
      </c>
      <c r="E18" s="45" t="inlineStr">
        <is>
          <t>28 Sep 2026: Updated to the platform schema reference v4.</t>
        </is>
      </c>
    </row>
    <row r="19" ht="25.5" customHeight="1" s="25">
      <c r="A19" s="44" t="inlineStr">
        <is>
          <t>X-15</t>
        </is>
      </c>
      <c r="B19" s="45" t="inlineStr">
        <is>
          <t>Exploration slice</t>
        </is>
      </c>
      <c r="C19" s="45" t="inlineStr">
        <is>
          <t>is_exploration on an engine list is set by the service on 5% of feed requests and copied by the app. The platform's own is_exploration flag (about 10% of discovery posts on its lists) is a different thing and is never set on an engine list. There is no shadow mode.</t>
        </is>
      </c>
      <c r="D19" s="45" t="inlineStr">
        <is>
          <t>Allen</t>
        </is>
      </c>
      <c r="E19" s="45" t="n"/>
    </row>
    <row r="20" ht="25.5" customHeight="1" s="25">
      <c r="A20" s="44" t="inlineStr">
        <is>
          <t>X-16</t>
        </is>
      </c>
      <c r="B20" s="45" t="inlineStr">
        <is>
          <t>Item adapter</t>
        </is>
      </c>
      <c r="C20" s="45" t="inlineStr">
        <is>
          <t>The engine returns items in the shape the app already uses. On the feed, a post card showing a product keeps its post id as item_id, with item_type as the app expects; product rails carry product ids. Every served item, impression and click also carries post_id and product_id as separate fields, so a post id is never read as a product id. The actor's collection comes from user_model / userModel. The sync reads platform lists with the same mapping.</t>
        </is>
      </c>
      <c r="D20" s="45" t="inlineStr">
        <is>
          <t>Aravinth; Allen</t>
        </is>
      </c>
      <c r="E20" s="45" t="inlineStr">
        <is>
          <t>29 Sep 2026: Build list ENG-29.</t>
        </is>
      </c>
    </row>
    <row r="21" ht="25.5" customHeight="1" s="25">
      <c r="A21" s="44" t="inlineStr">
        <is>
          <t>X-17</t>
        </is>
      </c>
      <c r="B21" s="45" t="inlineStr">
        <is>
          <t>Engine lists shown unchanged</t>
        </is>
      </c>
      <c r="C21" s="45" t="inlineStr">
        <is>
          <t>SOCO_BE shows engine lists exactly as returned: no filtering, re-ordering, trimming or added items. The engine applies eligibility and re-checks the returned items when each list is built. SOCO_BE writes one rec_serve_log row per list request (F80).</t>
        </is>
      </c>
      <c r="D21" s="45" t="inlineStr">
        <is>
          <t>Aravinth</t>
        </is>
      </c>
      <c r="E21" s="45" t="inlineStr">
        <is>
          <t>29 Sep 2026: Replaces dropping and the delivered-list record. Build list APP-15.</t>
        </is>
      </c>
    </row>
    <row r="22" ht="25.5" customHeight="1" s="25">
      <c r="A22" s="44" t="inlineStr">
        <is>
          <t>X-18</t>
        </is>
      </c>
      <c r="B22" s="45" t="inlineStr">
        <is>
          <t>Undo, own posts and order outcomes</t>
        </is>
      </c>
      <c r="C22" s="45" t="inlineStr">
        <is>
          <t>Nothing is deleted: an undo row carries undo_of and the original gets undone_at. is_self marks the author acting on their own post. Each model applies its own rule; nothing is filtered globally. An order's outcome is read from the order (order_status and tracking_info), not from the purchase row alone. A return is an order whose order_status is Returned (X-23).</t>
        </is>
      </c>
      <c r="D22" s="45" t="inlineStr">
        <is>
          <t>Allen</t>
        </is>
      </c>
      <c r="E22" s="45" t="inlineStr">
        <is>
          <t>14 Oct 2026: Return wording changed: there is no Return Requested status.
29 Sep 2026: Order history from tracking_info.</t>
        </is>
      </c>
    </row>
    <row r="23" ht="25.5" customHeight="1" s="25">
      <c r="A23" s="44" t="inlineStr">
        <is>
          <t>X-19</t>
        </is>
      </c>
      <c r="B23" s="45" t="inlineStr">
        <is>
          <t>Blocks</t>
        </is>
      </c>
      <c r="C23" s="45" t="inlineStr">
        <is>
          <t>Blocks are read from followers (status blocked), in either direction, for user and business accounts, when each list is built (build list ENG-08). No blocks collection is added. Build list APP-21 test 3 checks blocking end to end.</t>
        </is>
      </c>
      <c r="D23" s="45" t="inlineStr">
        <is>
          <t>Allen</t>
        </is>
      </c>
      <c r="E23" s="45" t="inlineStr">
        <is>
          <t xml:space="preserve">Added 29 Sep 2026: </t>
        </is>
      </c>
    </row>
    <row r="24" ht="25.5" customHeight="1" s="25">
      <c r="A24" s="44" t="inlineStr">
        <is>
          <t>X-20</t>
        </is>
      </c>
      <c r="B24" s="45" t="inlineStr">
        <is>
          <t>Category map</t>
        </is>
      </c>
      <c r="C24" s="45" t="inlineStr">
        <is>
          <t>The platform's categories are mapped to the 23 in the engine's settings. Every category in use must be mapped; unmapped categories are reported daily and left out of category scoring until mapped (build list ENG-29). The category tree is not restructured.</t>
        </is>
      </c>
      <c r="D24" s="45" t="inlineStr">
        <is>
          <t>Allen</t>
        </is>
      </c>
      <c r="E24" s="45" t="inlineStr">
        <is>
          <t xml:space="preserve">Added 29 Sep 2026: </t>
        </is>
      </c>
    </row>
    <row r="25" ht="25.5" customHeight="1" s="25">
      <c r="A25" s="44" t="inlineStr">
        <is>
          <t>X-21</t>
        </is>
      </c>
      <c r="B25" s="45" t="inlineStr">
        <is>
          <t>Exemptions and test accounts</t>
        </is>
      </c>
      <c r="C25" s="45" t="inlineStr">
        <is>
          <t>Kept in the engine's settings, each entry with the account, the reason, an expiry and who changed it; every change is logged. Exempt accounts are flagged but never actioned. Test accounts are left out of learning, measurement and fraud (build list ENG-29).</t>
        </is>
      </c>
      <c r="D25" s="45" t="inlineStr">
        <is>
          <t>Allen</t>
        </is>
      </c>
      <c r="E25" s="45" t="inlineStr">
        <is>
          <t xml:space="preserve">Added 29 Sep 2026: </t>
        </is>
      </c>
    </row>
    <row r="26" ht="15.75" customHeight="1" s="25">
      <c r="A26" s="44" t="inlineStr">
        <is>
          <t>X-22</t>
        </is>
      </c>
      <c r="B26" s="45" t="inlineStr">
        <is>
          <t>Promoter, person and platform data</t>
        </is>
      </c>
      <c r="C26" s="45" t="inlineStr">
        <is>
          <t>orders.promoter_id is the author of the order's post (text; a user or a store), taken from the post when missing. A personal account and every store whose businessregisters.user_id is that account are one person. A repost leads back to its original through repostDetails.originalPostId. A post carrying _seedTag is test data. Not read in Wave 1A: commissiontransactions, commissionledgers, postattributions, collaborations, collaborationevents, orders.commission, orders.return_type, orders.return_summary, posts.disclosure, users.influencerVerification and the Creator Hub profiles. influencerearnings and the legacy isVerified flags are no longer maintained and are never read (build list ENG-30).</t>
        </is>
      </c>
      <c r="D26" s="45" t="inlineStr">
        <is>
          <t>Allen</t>
        </is>
      </c>
      <c r="E26" s="45" t="inlineStr">
        <is>
          <t>14 Oct 2026: Added from the App Team ML Reference (8 Oct) and answers (13 Oct).</t>
        </is>
      </c>
    </row>
    <row r="27" ht="15.75" customHeight="1" s="25">
      <c r="A27" s="44" t="inlineStr">
        <is>
          <t>X-23</t>
        </is>
      </c>
      <c r="B27" s="45" t="inlineStr">
        <is>
          <t>Returns and return requests</t>
        </is>
      </c>
      <c r="C27" s="45" t="inlineStr">
        <is>
          <t>There is no Return Requested status. order_status is the order's current state; tracking_info is its history, free-text entries with a timestamp that include events which do not change the state (payment, return request, refund), and the engine maps each to a history event. A buyer's request is a returnrequests record, open while isActive is true; the order stays Delivered. The seller's return sets order_status Returned and return_info.returned_at. While a request is open, the purchase is out of M1 and the sale is out of M8's completed sales; a request that ends without a return brings both back. A missing record is never proof that no request exists. The return window is the product's deliveryConfig.returnWindow (0 when isReturnApplicable is false), counted from the first Delivered entry; a sale is past it at or after Delivered time plus window plus 2 days (build list ENG-30, ENG-16).</t>
        </is>
      </c>
      <c r="D27" s="45" t="inlineStr">
        <is>
          <t>Allen</t>
        </is>
      </c>
      <c r="E27" s="45" t="inlineStr">
        <is>
          <t>14 Oct 2026: Added from the database checks of 13 and 14 Oct.</t>
        </is>
      </c>
    </row>
    <row r="28" ht="15.75" customHeight="1" s="25"/>
    <row r="29" ht="15.75" customHeight="1" s="25"/>
    <row r="30" ht="15.75" customHeight="1" s="25"/>
    <row r="31" ht="15.75" customHeight="1" s="25"/>
    <row r="32" ht="15.75" customHeight="1" s="25"/>
    <row r="33" ht="15.75" customHeight="1" s="25"/>
    <row r="34" ht="15.75" customHeight="1" s="25"/>
    <row r="35" ht="15.75" customHeight="1" s="25"/>
    <row r="36" ht="15.75" customHeight="1" s="25"/>
    <row r="37" ht="15.75" customHeight="1" s="25"/>
    <row r="38" ht="15.75" customHeight="1" s="25"/>
    <row r="39" ht="15.75" customHeight="1" s="25"/>
    <row r="40" ht="15.75" customHeight="1" s="25"/>
    <row r="41" ht="15.75" customHeight="1" s="25"/>
    <row r="42" ht="15.75" customHeight="1" s="25"/>
    <row r="43" ht="15.75" customHeight="1" s="25"/>
    <row r="44" ht="15.75" customHeight="1" s="25"/>
    <row r="45" ht="15.75" customHeight="1" s="25"/>
    <row r="46" ht="15.75" customHeight="1" s="25"/>
    <row r="47" ht="15.75" customHeight="1" s="25"/>
    <row r="48" ht="15.75" customHeight="1" s="25"/>
    <row r="49" ht="15.75" customHeight="1" s="25"/>
    <row r="50" ht="15.75" customHeight="1" s="25"/>
    <row r="51" ht="15.75" customHeight="1" s="25"/>
    <row r="52" ht="15.75" customHeight="1" s="25"/>
    <row r="53" ht="15.75" customHeight="1" s="25"/>
    <row r="54" ht="15.75" customHeight="1" s="25"/>
    <row r="55" ht="15.75" customHeight="1" s="25"/>
    <row r="56" ht="15.75" customHeight="1" s="25"/>
    <row r="57" ht="15.75" customHeight="1" s="25"/>
    <row r="58" ht="15.75" customHeight="1" s="25"/>
    <row r="59" ht="15.75" customHeight="1" s="25"/>
    <row r="60" ht="15.75" customHeight="1" s="25"/>
    <row r="61" ht="15.75" customHeight="1" s="25"/>
    <row r="62" ht="15.75" customHeight="1" s="25"/>
    <row r="63" ht="15.75" customHeight="1" s="25"/>
    <row r="64" ht="15.75" customHeight="1" s="25"/>
    <row r="65" ht="15.75" customHeight="1" s="25"/>
    <row r="66" ht="15.75" customHeight="1" s="25"/>
    <row r="67" ht="15.75" customHeight="1" s="25"/>
    <row r="68" ht="15.75" customHeight="1" s="25"/>
    <row r="69" ht="15.75" customHeight="1" s="25"/>
    <row r="70" ht="15.75" customHeight="1" s="25"/>
    <row r="71" ht="15.75" customHeight="1" s="25"/>
    <row r="72" ht="15.75" customHeight="1" s="25"/>
    <row r="73" ht="15.75" customHeight="1" s="25"/>
    <row r="74" ht="15.75" customHeight="1" s="25"/>
    <row r="75" ht="15.75" customHeight="1" s="25"/>
    <row r="76" ht="15.75" customHeight="1" s="25"/>
    <row r="77" ht="15.75" customHeight="1" s="25"/>
    <row r="78" ht="15.75" customHeight="1" s="25"/>
    <row r="79" ht="15.75" customHeight="1" s="25"/>
    <row r="80" ht="15.75" customHeight="1" s="25"/>
    <row r="81" ht="15.75" customHeight="1" s="25"/>
    <row r="82" ht="15.75" customHeight="1" s="25"/>
    <row r="83" ht="15.75" customHeight="1" s="25"/>
    <row r="84" ht="15.75" customHeight="1" s="25"/>
    <row r="85" ht="15.75" customHeight="1" s="25"/>
    <row r="86" ht="15.75" customHeight="1" s="25"/>
    <row r="87" ht="15.75" customHeight="1" s="25"/>
    <row r="88" ht="15.75" customHeight="1" s="25"/>
    <row r="89" ht="15.75" customHeight="1" s="25"/>
    <row r="90" ht="15.75" customHeight="1" s="25"/>
    <row r="91" ht="15.75" customHeight="1" s="25"/>
    <row r="92" ht="15.75" customHeight="1" s="25"/>
    <row r="93" ht="15.75" customHeight="1" s="25"/>
    <row r="94" ht="15.75" customHeight="1" s="25"/>
    <row r="95" ht="15.75" customHeight="1" s="25"/>
    <row r="96" ht="15.75" customHeight="1" s="25"/>
    <row r="97" ht="15.75" customHeight="1" s="25"/>
    <row r="98" ht="15.75" customHeight="1" s="25"/>
    <row r="99" ht="15.75" customHeight="1" s="25"/>
    <row r="100" ht="15.75" customHeight="1" s="25"/>
    <row r="101" ht="15.75" customHeight="1" s="25"/>
    <row r="102" ht="15.75" customHeight="1" s="25"/>
    <row r="103" ht="15.75" customHeight="1" s="25"/>
    <row r="104" ht="15.75" customHeight="1" s="25"/>
    <row r="105" ht="15.75" customHeight="1" s="25"/>
    <row r="106" ht="15.75" customHeight="1" s="25"/>
    <row r="107" ht="15.75" customHeight="1" s="25"/>
    <row r="108" ht="15.75" customHeight="1" s="25"/>
    <row r="109" ht="15.75" customHeight="1" s="25"/>
    <row r="110" ht="15.75" customHeight="1" s="25"/>
    <row r="111" ht="15.75" customHeight="1" s="25"/>
    <row r="112" ht="15.75" customHeight="1" s="25"/>
    <row r="113" ht="15.75" customHeight="1" s="25"/>
    <row r="114" ht="15.75" customHeight="1" s="25"/>
    <row r="115" ht="15.75" customHeight="1" s="25"/>
    <row r="116" ht="15.75" customHeight="1" s="25"/>
    <row r="117" ht="15.75" customHeight="1" s="25"/>
    <row r="118" ht="15.75" customHeight="1" s="25"/>
    <row r="119" ht="15.75" customHeight="1" s="25"/>
    <row r="120" ht="15.75" customHeight="1" s="25"/>
    <row r="121" ht="15.75" customHeight="1" s="25"/>
    <row r="122" ht="15.75" customHeight="1" s="25"/>
    <row r="123" ht="15.75" customHeight="1" s="25"/>
    <row r="124" ht="15.75" customHeight="1" s="25"/>
    <row r="125" ht="15.75" customHeight="1" s="25"/>
    <row r="126" ht="15.75" customHeight="1" s="25"/>
    <row r="127" ht="15.75" customHeight="1" s="25"/>
    <row r="128" ht="15.75" customHeight="1" s="25"/>
    <row r="129" ht="15.75" customHeight="1" s="25"/>
    <row r="130" ht="15.75" customHeight="1" s="25"/>
    <row r="131" ht="15.75" customHeight="1" s="25"/>
    <row r="132" ht="15.75" customHeight="1" s="25"/>
    <row r="133" ht="15.75" customHeight="1" s="25"/>
    <row r="134" ht="15.75" customHeight="1" s="25"/>
    <row r="135" ht="15.75" customHeight="1" s="25"/>
    <row r="136" ht="15.75" customHeight="1" s="25"/>
    <row r="137" ht="15.75" customHeight="1" s="25"/>
    <row r="138" ht="15.75" customHeight="1" s="25"/>
    <row r="139" ht="15.75" customHeight="1" s="25"/>
    <row r="140" ht="15.75" customHeight="1" s="25"/>
    <row r="141" ht="15.75" customHeight="1" s="25"/>
    <row r="142" ht="15.75" customHeight="1" s="25"/>
    <row r="143" ht="15.75" customHeight="1" s="25"/>
    <row r="144" ht="15.75" customHeight="1" s="25"/>
    <row r="145" ht="15.75" customHeight="1" s="25"/>
    <row r="146" ht="15.75" customHeight="1" s="25"/>
    <row r="147" ht="15.75" customHeight="1" s="25"/>
    <row r="148" ht="15.75" customHeight="1" s="25"/>
    <row r="149" ht="15.75" customHeight="1" s="25"/>
    <row r="150" ht="15.75" customHeight="1" s="25"/>
    <row r="151" ht="15.75" customHeight="1" s="25"/>
    <row r="152" ht="15.75" customHeight="1" s="25"/>
    <row r="153" ht="15.75" customHeight="1" s="25"/>
    <row r="154" ht="15.75" customHeight="1" s="25"/>
    <row r="155" ht="15.75" customHeight="1" s="25"/>
    <row r="156" ht="15.75" customHeight="1" s="25"/>
    <row r="157" ht="15.75" customHeight="1" s="25"/>
    <row r="158" ht="15.75" customHeight="1" s="25"/>
    <row r="159" ht="15.75" customHeight="1" s="25"/>
    <row r="160" ht="15.75" customHeight="1" s="25"/>
    <row r="161" ht="15.75" customHeight="1" s="25"/>
    <row r="162" ht="15.75" customHeight="1" s="25"/>
    <row r="163" ht="15.75" customHeight="1" s="25"/>
    <row r="164" ht="15.75" customHeight="1" s="25"/>
    <row r="165" ht="15.75" customHeight="1" s="25"/>
    <row r="166" ht="15.75" customHeight="1" s="25"/>
    <row r="167" ht="15.75" customHeight="1" s="25"/>
    <row r="168" ht="15.75" customHeight="1" s="25"/>
    <row r="169" ht="15.75" customHeight="1" s="25"/>
    <row r="170" ht="15.75" customHeight="1" s="25"/>
    <row r="171" ht="15.75" customHeight="1" s="25"/>
    <row r="172" ht="15.75" customHeight="1" s="25"/>
    <row r="173" ht="15.75" customHeight="1" s="25"/>
    <row r="174" ht="15.75" customHeight="1" s="25"/>
    <row r="175" ht="15.75" customHeight="1" s="25"/>
    <row r="176" ht="15.75" customHeight="1" s="25"/>
    <row r="177" ht="15.75" customHeight="1" s="25"/>
    <row r="178" ht="15.75" customHeight="1" s="25"/>
    <row r="179" ht="15.75" customHeight="1" s="25"/>
    <row r="180" ht="15.75" customHeight="1" s="25"/>
    <row r="181" ht="15.75" customHeight="1" s="25"/>
    <row r="182" ht="15.75" customHeight="1" s="25"/>
    <row r="183" ht="15.75" customHeight="1" s="25"/>
    <row r="184" ht="15.75" customHeight="1" s="25"/>
    <row r="185" ht="15.75" customHeight="1" s="25"/>
    <row r="186" ht="15.75" customHeight="1" s="25"/>
    <row r="187" ht="15.75" customHeight="1" s="25"/>
    <row r="188" ht="15.75" customHeight="1" s="25"/>
    <row r="189" ht="15.75" customHeight="1" s="25"/>
    <row r="190" ht="15.75" customHeight="1" s="25"/>
    <row r="191" ht="15.75" customHeight="1" s="25"/>
    <row r="192" ht="15.75" customHeight="1" s="25"/>
    <row r="193" ht="15.75" customHeight="1" s="25"/>
    <row r="194" ht="15.75" customHeight="1" s="25"/>
    <row r="195" ht="15.75" customHeight="1" s="25"/>
    <row r="196" ht="15.75" customHeight="1" s="25"/>
    <row r="197" ht="15.75" customHeight="1" s="25"/>
    <row r="198" ht="15.75" customHeight="1" s="25"/>
    <row r="199" ht="15.75" customHeight="1" s="25"/>
    <row r="200" ht="15.75" customHeight="1" s="25"/>
    <row r="201" ht="15.75" customHeight="1" s="25"/>
    <row r="202" ht="15.75" customHeight="1" s="25"/>
    <row r="203" ht="15.75" customHeight="1" s="25"/>
    <row r="204" ht="15.75" customHeight="1" s="25"/>
    <row r="205" ht="15.75" customHeight="1" s="25"/>
    <row r="206" ht="15.75" customHeight="1" s="25"/>
    <row r="207" ht="15.75" customHeight="1" s="25"/>
    <row r="208" ht="15.75" customHeight="1" s="25"/>
    <row r="209" ht="15.75" customHeight="1" s="25"/>
    <row r="210" ht="15.75" customHeight="1" s="25"/>
    <row r="211" ht="15.75" customHeight="1" s="25"/>
    <row r="212" ht="15.75" customHeight="1" s="25"/>
    <row r="213" ht="15.75" customHeight="1" s="25"/>
    <row r="214" ht="15.75" customHeight="1" s="25"/>
    <row r="215" ht="15.75" customHeight="1" s="25"/>
    <row r="216" ht="15.75" customHeight="1" s="25"/>
    <row r="217" ht="15.75" customHeight="1" s="25"/>
    <row r="218" ht="15.75" customHeight="1" s="25"/>
    <row r="219" ht="15.75" customHeight="1" s="25"/>
    <row r="220" ht="15.75" customHeight="1" s="25"/>
    <row r="221" ht="15.75" customHeight="1" s="25"/>
    <row r="222" ht="15.75" customHeight="1" s="25"/>
    <row r="223" ht="15.75" customHeight="1" s="25"/>
    <row r="224" ht="15.75" customHeight="1" s="25"/>
    <row r="225" ht="15.75" customHeight="1" s="25"/>
    <row r="226" ht="15.75" customHeight="1" s="25"/>
    <row r="227" ht="15.75" customHeight="1" s="25"/>
    <row r="228" ht="15.75" customHeight="1" s="25"/>
    <row r="229" ht="15.75" customHeight="1" s="25"/>
    <row r="230" ht="15.75" customHeight="1" s="25"/>
    <row r="231" ht="15.75" customHeight="1" s="25"/>
    <row r="232" ht="15.75" customHeight="1" s="25"/>
    <row r="233" ht="15.75" customHeight="1" s="25"/>
    <row r="234" ht="15.75" customHeight="1" s="25"/>
    <row r="235" ht="15.75" customHeight="1" s="25"/>
    <row r="236" ht="15.75" customHeight="1" s="25"/>
    <row r="237" ht="15.75" customHeight="1" s="25"/>
    <row r="238" ht="15.75" customHeight="1" s="25"/>
    <row r="239" ht="15.75" customHeight="1" s="25"/>
    <row r="240" ht="15.75" customHeight="1" s="25"/>
    <row r="241" ht="15.75" customHeight="1" s="25"/>
    <row r="242" ht="15.75" customHeight="1" s="25"/>
    <row r="243" ht="15.75" customHeight="1" s="25"/>
    <row r="244" ht="15.75" customHeight="1" s="25"/>
    <row r="245" ht="15.75" customHeight="1" s="25"/>
    <row r="246" ht="15.75" customHeight="1" s="25"/>
    <row r="247" ht="15.75" customHeight="1" s="25"/>
    <row r="248" ht="15.75" customHeight="1" s="25"/>
    <row r="249" ht="15.75" customHeight="1" s="25"/>
    <row r="250" ht="15.75" customHeight="1" s="25"/>
    <row r="251" ht="15.75" customHeight="1" s="25"/>
    <row r="252" ht="15.75" customHeight="1" s="25"/>
    <row r="253" ht="15.75" customHeight="1" s="25"/>
    <row r="254" ht="15.75" customHeight="1" s="25"/>
    <row r="255" ht="15.75" customHeight="1" s="25"/>
    <row r="256" ht="15.75" customHeight="1" s="25"/>
    <row r="257" ht="15.75" customHeight="1" s="25"/>
    <row r="258" ht="15.75" customHeight="1" s="25"/>
    <row r="259" ht="15.75" customHeight="1" s="25"/>
    <row r="260" ht="15.75" customHeight="1" s="25"/>
    <row r="261" ht="15.75" customHeight="1" s="25"/>
    <row r="262" ht="15.75" customHeight="1" s="25"/>
    <row r="263" ht="15.75" customHeight="1" s="25"/>
    <row r="264" ht="15.75" customHeight="1" s="25"/>
    <row r="265" ht="15.75" customHeight="1" s="25"/>
    <row r="266" ht="15.75" customHeight="1" s="25"/>
    <row r="267" ht="15.75" customHeight="1" s="25"/>
    <row r="268" ht="15.75" customHeight="1" s="25"/>
    <row r="269" ht="15.75" customHeight="1" s="25"/>
    <row r="270" ht="15.75" customHeight="1" s="25"/>
    <row r="271" ht="15.75" customHeight="1" s="25"/>
    <row r="272" ht="15.75" customHeight="1" s="25"/>
    <row r="273" ht="15.75" customHeight="1" s="25"/>
    <row r="274" ht="15.75" customHeight="1" s="25"/>
    <row r="275" ht="15.75" customHeight="1" s="25"/>
    <row r="276" ht="15.75" customHeight="1" s="25"/>
    <row r="277" ht="15.75" customHeight="1" s="25"/>
    <row r="278" ht="15.75" customHeight="1" s="25"/>
    <row r="279" ht="15.75" customHeight="1" s="25"/>
    <row r="280" ht="15.75" customHeight="1" s="25"/>
    <row r="281" ht="15.75" customHeight="1" s="25"/>
    <row r="282" ht="15.75" customHeight="1" s="25"/>
    <row r="283" ht="15.75" customHeight="1" s="25"/>
    <row r="284" ht="15.75" customHeight="1" s="25"/>
    <row r="285" ht="15.75" customHeight="1" s="25"/>
    <row r="286" ht="15.75" customHeight="1" s="25"/>
    <row r="287" ht="15.75" customHeight="1" s="25"/>
    <row r="288" ht="15.75" customHeight="1" s="25"/>
    <row r="289" ht="15.75" customHeight="1" s="25"/>
    <row r="290" ht="15.75" customHeight="1" s="25"/>
    <row r="291" ht="15.75" customHeight="1" s="25"/>
    <row r="292" ht="15.75" customHeight="1" s="25"/>
    <row r="293" ht="15.75" customHeight="1" s="25"/>
    <row r="294" ht="15.75" customHeight="1" s="25"/>
    <row r="295" ht="15.75" customHeight="1" s="25"/>
    <row r="296" ht="15.75" customHeight="1" s="25"/>
    <row r="297" ht="15.75" customHeight="1" s="25"/>
    <row r="298" ht="15.75" customHeight="1" s="25"/>
    <row r="299" ht="15.75" customHeight="1" s="25"/>
    <row r="300" ht="15.75" customHeight="1" s="25"/>
    <row r="301" ht="15.75" customHeight="1" s="25"/>
    <row r="302" ht="15.75" customHeight="1" s="25"/>
    <row r="303" ht="15.75" customHeight="1" s="25"/>
    <row r="304" ht="15.75" customHeight="1" s="25"/>
    <row r="305" ht="15.75" customHeight="1" s="25"/>
    <row r="306" ht="15.75" customHeight="1" s="25"/>
    <row r="307" ht="15.75" customHeight="1" s="25"/>
    <row r="308" ht="15.75" customHeight="1" s="25"/>
    <row r="309" ht="15.75" customHeight="1" s="25"/>
    <row r="310" ht="15.75" customHeight="1" s="25"/>
    <row r="311" ht="15.75" customHeight="1" s="25"/>
    <row r="312" ht="15.75" customHeight="1" s="25"/>
    <row r="313" ht="15.75" customHeight="1" s="25"/>
    <row r="314" ht="15.75" customHeight="1" s="25"/>
    <row r="315" ht="15.75" customHeight="1" s="25"/>
    <row r="316" ht="15.75" customHeight="1" s="25"/>
    <row r="317" ht="15.75" customHeight="1" s="25"/>
    <row r="318" ht="15.75" customHeight="1" s="25"/>
    <row r="319" ht="15.75" customHeight="1" s="25"/>
    <row r="320" ht="15.75" customHeight="1" s="25"/>
    <row r="321" ht="15.75" customHeight="1" s="25"/>
    <row r="322" ht="15.75" customHeight="1" s="25"/>
    <row r="323" ht="15.75" customHeight="1" s="25"/>
    <row r="324" ht="15.75" customHeight="1" s="25"/>
    <row r="325" ht="15.75" customHeight="1" s="25"/>
    <row r="326" ht="15.75" customHeight="1" s="25"/>
    <row r="327" ht="15.75" customHeight="1" s="25"/>
    <row r="328" ht="15.75" customHeight="1" s="25"/>
    <row r="329" ht="15.75" customHeight="1" s="25"/>
    <row r="330" ht="15.75" customHeight="1" s="25"/>
    <row r="331" ht="15.75" customHeight="1" s="25"/>
    <row r="332" ht="15.75" customHeight="1" s="25"/>
    <row r="333" ht="15.75" customHeight="1" s="25"/>
    <row r="334" ht="15.75" customHeight="1" s="25"/>
    <row r="335" ht="15.75" customHeight="1" s="25"/>
    <row r="336" ht="15.75" customHeight="1" s="25"/>
    <row r="337" ht="15.75" customHeight="1" s="25"/>
    <row r="338" ht="15.75" customHeight="1" s="25"/>
    <row r="339" ht="15.75" customHeight="1" s="25"/>
    <row r="340" ht="15.75" customHeight="1" s="25"/>
    <row r="341" ht="15.75" customHeight="1" s="25"/>
    <row r="342" ht="15.75" customHeight="1" s="25"/>
    <row r="343" ht="15.75" customHeight="1" s="25"/>
    <row r="344" ht="15.75" customHeight="1" s="25"/>
    <row r="345" ht="15.75" customHeight="1" s="25"/>
    <row r="346" ht="15.75" customHeight="1" s="25"/>
    <row r="347" ht="15.75" customHeight="1" s="25"/>
    <row r="348" ht="15.75" customHeight="1" s="25"/>
    <row r="349" ht="15.75" customHeight="1" s="25"/>
    <row r="350" ht="15.75" customHeight="1" s="25"/>
    <row r="351" ht="15.75" customHeight="1" s="25"/>
    <row r="352" ht="15.75" customHeight="1" s="25"/>
    <row r="353" ht="15.75" customHeight="1" s="25"/>
    <row r="354" ht="15.75" customHeight="1" s="25"/>
    <row r="355" ht="15.75" customHeight="1" s="25"/>
    <row r="356" ht="15.75" customHeight="1" s="25"/>
    <row r="357" ht="15.75" customHeight="1" s="25"/>
    <row r="358" ht="15.75" customHeight="1" s="25"/>
    <row r="359" ht="15.75" customHeight="1" s="25"/>
    <row r="360" ht="15.75" customHeight="1" s="25"/>
    <row r="361" ht="15.75" customHeight="1" s="25"/>
    <row r="362" ht="15.75" customHeight="1" s="25"/>
    <row r="363" ht="15.75" customHeight="1" s="25"/>
    <row r="364" ht="15.75" customHeight="1" s="25"/>
    <row r="365" ht="15.75" customHeight="1" s="25"/>
    <row r="366" ht="15.75" customHeight="1" s="25"/>
    <row r="367" ht="15.75" customHeight="1" s="25"/>
    <row r="368" ht="15.75" customHeight="1" s="25"/>
    <row r="369" ht="15.75" customHeight="1" s="25"/>
    <row r="370" ht="15.75" customHeight="1" s="25"/>
    <row r="371" ht="15.75" customHeight="1" s="25"/>
    <row r="372" ht="15.75" customHeight="1" s="25"/>
    <row r="373" ht="15.75" customHeight="1" s="25"/>
    <row r="374" ht="15.75" customHeight="1" s="25"/>
    <row r="375" ht="15.75" customHeight="1" s="25"/>
    <row r="376" ht="15.75" customHeight="1" s="25"/>
    <row r="377" ht="15.75" customHeight="1" s="25"/>
    <row r="378" ht="15.75" customHeight="1" s="25"/>
    <row r="379" ht="15.75" customHeight="1" s="25"/>
    <row r="380" ht="15.75" customHeight="1" s="25"/>
    <row r="381" ht="15.75" customHeight="1" s="25"/>
    <row r="382" ht="15.75" customHeight="1" s="25"/>
    <row r="383" ht="15.75" customHeight="1" s="25"/>
    <row r="384" ht="15.75" customHeight="1" s="25"/>
    <row r="385" ht="15.75" customHeight="1" s="25"/>
    <row r="386" ht="15.75" customHeight="1" s="25"/>
    <row r="387" ht="15.75" customHeight="1" s="25"/>
    <row r="388" ht="15.75" customHeight="1" s="25"/>
    <row r="389" ht="15.75" customHeight="1" s="25"/>
    <row r="390" ht="15.75" customHeight="1" s="25"/>
    <row r="391" ht="15.75" customHeight="1" s="25"/>
    <row r="392" ht="15.75" customHeight="1" s="25"/>
    <row r="393" ht="15.75" customHeight="1" s="25"/>
    <row r="394" ht="15.75" customHeight="1" s="25"/>
    <row r="395" ht="15.75" customHeight="1" s="25"/>
    <row r="396" ht="15.75" customHeight="1" s="25"/>
    <row r="397" ht="15.75" customHeight="1" s="25"/>
    <row r="398" ht="15.75" customHeight="1" s="25"/>
    <row r="399" ht="15.75" customHeight="1" s="25"/>
    <row r="400" ht="15.75" customHeight="1" s="25"/>
    <row r="401" ht="15.75" customHeight="1" s="25"/>
    <row r="402" ht="15.75" customHeight="1" s="25"/>
    <row r="403" ht="15.75" customHeight="1" s="25"/>
    <row r="404" ht="15.75" customHeight="1" s="25"/>
    <row r="405" ht="15.75" customHeight="1" s="25"/>
    <row r="406" ht="15.75" customHeight="1" s="25"/>
    <row r="407" ht="15.75" customHeight="1" s="25"/>
    <row r="408" ht="15.75" customHeight="1" s="25"/>
    <row r="409" ht="15.75" customHeight="1" s="25"/>
    <row r="410" ht="15.75" customHeight="1" s="25"/>
    <row r="411" ht="15.75" customHeight="1" s="25"/>
    <row r="412" ht="15.75" customHeight="1" s="25"/>
    <row r="413" ht="15.75" customHeight="1" s="25"/>
    <row r="414" ht="15.75" customHeight="1" s="25"/>
    <row r="415" ht="15.75" customHeight="1" s="25"/>
    <row r="416" ht="15.75" customHeight="1" s="25"/>
    <row r="417" ht="15.75" customHeight="1" s="25"/>
    <row r="418" ht="15.75" customHeight="1" s="25"/>
    <row r="419" ht="15.75" customHeight="1" s="25"/>
    <row r="420" ht="15.75" customHeight="1" s="25"/>
    <row r="421" ht="15.75" customHeight="1" s="25"/>
    <row r="422" ht="15.75" customHeight="1" s="25"/>
    <row r="423" ht="15.75" customHeight="1" s="25"/>
    <row r="424" ht="15.75" customHeight="1" s="25"/>
    <row r="425" ht="15.75" customHeight="1" s="25"/>
    <row r="426" ht="15.75" customHeight="1" s="25"/>
    <row r="427" ht="15.75" customHeight="1" s="25"/>
    <row r="428" ht="15.75" customHeight="1" s="25"/>
    <row r="429" ht="15.75" customHeight="1" s="25"/>
    <row r="430" ht="15.75" customHeight="1" s="25"/>
    <row r="431" ht="15.75" customHeight="1" s="25"/>
    <row r="432" ht="15.75" customHeight="1" s="25"/>
    <row r="433" ht="15.75" customHeight="1" s="25"/>
    <row r="434" ht="15.75" customHeight="1" s="25"/>
    <row r="435" ht="15.75" customHeight="1" s="25"/>
    <row r="436" ht="15.75" customHeight="1" s="25"/>
    <row r="437" ht="15.75" customHeight="1" s="25"/>
    <row r="438" ht="15.75" customHeight="1" s="25"/>
    <row r="439" ht="15.75" customHeight="1" s="25"/>
    <row r="440" ht="15.75" customHeight="1" s="25"/>
    <row r="441" ht="15.75" customHeight="1" s="25"/>
    <row r="442" ht="15.75" customHeight="1" s="25"/>
    <row r="443" ht="15.75" customHeight="1" s="25"/>
    <row r="444" ht="15.75" customHeight="1" s="25"/>
    <row r="445" ht="15.75" customHeight="1" s="25"/>
    <row r="446" ht="15.75" customHeight="1" s="25"/>
    <row r="447" ht="15.75" customHeight="1" s="25"/>
    <row r="448" ht="15.75" customHeight="1" s="25"/>
    <row r="449" ht="15.75" customHeight="1" s="25"/>
    <row r="450" ht="15.75" customHeight="1" s="25"/>
    <row r="451" ht="15.75" customHeight="1" s="25"/>
    <row r="452" ht="15.75" customHeight="1" s="25"/>
    <row r="453" ht="15.75" customHeight="1" s="25"/>
    <row r="454" ht="15.75" customHeight="1" s="25"/>
    <row r="455" ht="15.75" customHeight="1" s="25"/>
    <row r="456" ht="15.75" customHeight="1" s="25"/>
    <row r="457" ht="15.75" customHeight="1" s="25"/>
    <row r="458" ht="15.75" customHeight="1" s="25"/>
    <row r="459" ht="15.75" customHeight="1" s="25"/>
    <row r="460" ht="15.75" customHeight="1" s="25"/>
    <row r="461" ht="15.75" customHeight="1" s="25"/>
    <row r="462" ht="15.75" customHeight="1" s="25"/>
    <row r="463" ht="15.75" customHeight="1" s="25"/>
    <row r="464" ht="15.75" customHeight="1" s="25"/>
    <row r="465" ht="15.75" customHeight="1" s="25"/>
    <row r="466" ht="15.75" customHeight="1" s="25"/>
    <row r="467" ht="15.75" customHeight="1" s="25"/>
    <row r="468" ht="15.75" customHeight="1" s="25"/>
    <row r="469" ht="15.75" customHeight="1" s="25"/>
    <row r="470" ht="15.75" customHeight="1" s="25"/>
    <row r="471" ht="15.75" customHeight="1" s="25"/>
    <row r="472" ht="15.75" customHeight="1" s="25"/>
    <row r="473" ht="15.75" customHeight="1" s="25"/>
    <row r="474" ht="15.75" customHeight="1" s="25"/>
    <row r="475" ht="15.75" customHeight="1" s="25"/>
    <row r="476" ht="15.75" customHeight="1" s="25"/>
    <row r="477" ht="15.75" customHeight="1" s="25"/>
    <row r="478" ht="15.75" customHeight="1" s="25"/>
    <row r="479" ht="15.75" customHeight="1" s="25"/>
    <row r="480" ht="15.75" customHeight="1" s="25"/>
    <row r="481" ht="15.75" customHeight="1" s="25"/>
    <row r="482" ht="15.75" customHeight="1" s="25"/>
    <row r="483" ht="15.75" customHeight="1" s="25"/>
    <row r="484" ht="15.75" customHeight="1" s="25"/>
    <row r="485" ht="15.75" customHeight="1" s="25"/>
    <row r="486" ht="15.75" customHeight="1" s="25"/>
    <row r="487" ht="15.75" customHeight="1" s="25"/>
    <row r="488" ht="15.75" customHeight="1" s="25"/>
    <row r="489" ht="15.75" customHeight="1" s="25"/>
    <row r="490" ht="15.75" customHeight="1" s="25"/>
    <row r="491" ht="15.75" customHeight="1" s="25"/>
    <row r="492" ht="15.75" customHeight="1" s="25"/>
    <row r="493" ht="15.75" customHeight="1" s="25"/>
    <row r="494" ht="15.75" customHeight="1" s="25"/>
    <row r="495" ht="15.75" customHeight="1" s="25"/>
    <row r="496" ht="15.75" customHeight="1" s="25"/>
    <row r="497" ht="15.75" customHeight="1" s="25"/>
    <row r="498" ht="15.75" customHeight="1" s="25"/>
    <row r="499" ht="15.75" customHeight="1" s="25"/>
    <row r="500" ht="15.75" customHeight="1" s="25"/>
    <row r="501" ht="15.75" customHeight="1" s="25"/>
    <row r="502" ht="15.75" customHeight="1" s="25"/>
    <row r="503" ht="15.75" customHeight="1" s="25"/>
    <row r="504" ht="15.75" customHeight="1" s="25"/>
    <row r="505" ht="15.75" customHeight="1" s="25"/>
    <row r="506" ht="15.75" customHeight="1" s="25"/>
    <row r="507" ht="15.75" customHeight="1" s="25"/>
    <row r="508" ht="15.75" customHeight="1" s="25"/>
    <row r="509" ht="15.75" customHeight="1" s="25"/>
    <row r="510" ht="15.75" customHeight="1" s="25"/>
    <row r="511" ht="15.75" customHeight="1" s="25"/>
    <row r="512" ht="15.75" customHeight="1" s="25"/>
    <row r="513" ht="15.75" customHeight="1" s="25"/>
    <row r="514" ht="15.75" customHeight="1" s="25"/>
    <row r="515" ht="15.75" customHeight="1" s="25"/>
    <row r="516" ht="15.75" customHeight="1" s="25"/>
    <row r="517" ht="15.75" customHeight="1" s="25"/>
    <row r="518" ht="15.75" customHeight="1" s="25"/>
    <row r="519" ht="15.75" customHeight="1" s="25"/>
    <row r="520" ht="15.75" customHeight="1" s="25"/>
    <row r="521" ht="15.75" customHeight="1" s="25"/>
    <row r="522" ht="15.75" customHeight="1" s="25"/>
    <row r="523" ht="15.75" customHeight="1" s="25"/>
    <row r="524" ht="15.75" customHeight="1" s="25"/>
    <row r="525" ht="15.75" customHeight="1" s="25"/>
    <row r="526" ht="15.75" customHeight="1" s="25"/>
    <row r="527" ht="15.75" customHeight="1" s="25"/>
    <row r="528" ht="15.75" customHeight="1" s="25"/>
    <row r="529" ht="15.75" customHeight="1" s="25"/>
    <row r="530" ht="15.75" customHeight="1" s="25"/>
    <row r="531" ht="15.75" customHeight="1" s="25"/>
    <row r="532" ht="15.75" customHeight="1" s="25"/>
    <row r="533" ht="15.75" customHeight="1" s="25"/>
    <row r="534" ht="15.75" customHeight="1" s="25"/>
    <row r="535" ht="15.75" customHeight="1" s="25"/>
    <row r="536" ht="15.75" customHeight="1" s="25"/>
    <row r="537" ht="15.75" customHeight="1" s="25"/>
    <row r="538" ht="15.75" customHeight="1" s="25"/>
    <row r="539" ht="15.75" customHeight="1" s="25"/>
    <row r="540" ht="15.75" customHeight="1" s="25"/>
    <row r="541" ht="15.75" customHeight="1" s="25"/>
    <row r="542" ht="15.75" customHeight="1" s="25"/>
    <row r="543" ht="15.75" customHeight="1" s="25"/>
    <row r="544" ht="15.75" customHeight="1" s="25"/>
    <row r="545" ht="15.75" customHeight="1" s="25"/>
    <row r="546" ht="15.75" customHeight="1" s="25"/>
    <row r="547" ht="15.75" customHeight="1" s="25"/>
    <row r="548" ht="15.75" customHeight="1" s="25"/>
    <row r="549" ht="15.75" customHeight="1" s="25"/>
    <row r="550" ht="15.75" customHeight="1" s="25"/>
    <row r="551" ht="15.75" customHeight="1" s="25"/>
    <row r="552" ht="15.75" customHeight="1" s="25"/>
    <row r="553" ht="15.75" customHeight="1" s="25"/>
    <row r="554" ht="15.75" customHeight="1" s="25"/>
    <row r="555" ht="15.75" customHeight="1" s="25"/>
    <row r="556" ht="15.75" customHeight="1" s="25"/>
    <row r="557" ht="15.75" customHeight="1" s="25"/>
    <row r="558" ht="15.75" customHeight="1" s="25"/>
    <row r="559" ht="15.75" customHeight="1" s="25"/>
    <row r="560" ht="15.75" customHeight="1" s="25"/>
    <row r="561" ht="15.75" customHeight="1" s="25"/>
    <row r="562" ht="15.75" customHeight="1" s="25"/>
    <row r="563" ht="15.75" customHeight="1" s="25"/>
    <row r="564" ht="15.75" customHeight="1" s="25"/>
    <row r="565" ht="15.75" customHeight="1" s="25"/>
    <row r="566" ht="15.75" customHeight="1" s="25"/>
    <row r="567" ht="15.75" customHeight="1" s="25"/>
    <row r="568" ht="15.75" customHeight="1" s="25"/>
    <row r="569" ht="15.75" customHeight="1" s="25"/>
    <row r="570" ht="15.75" customHeight="1" s="25"/>
    <row r="571" ht="15.75" customHeight="1" s="25"/>
    <row r="572" ht="15.75" customHeight="1" s="25"/>
    <row r="573" ht="15.75" customHeight="1" s="25"/>
    <row r="574" ht="15.75" customHeight="1" s="25"/>
    <row r="575" ht="15.75" customHeight="1" s="25"/>
    <row r="576" ht="15.75" customHeight="1" s="25"/>
    <row r="577" ht="15.75" customHeight="1" s="25"/>
    <row r="578" ht="15.75" customHeight="1" s="25"/>
    <row r="579" ht="15.75" customHeight="1" s="25"/>
    <row r="580" ht="15.75" customHeight="1" s="25"/>
    <row r="581" ht="15.75" customHeight="1" s="25"/>
    <row r="582" ht="15.75" customHeight="1" s="25"/>
    <row r="583" ht="15.75" customHeight="1" s="25"/>
    <row r="584" ht="15.75" customHeight="1" s="25"/>
    <row r="585" ht="15.75" customHeight="1" s="25"/>
    <row r="586" ht="15.75" customHeight="1" s="25"/>
    <row r="587" ht="15.75" customHeight="1" s="25"/>
    <row r="588" ht="15.75" customHeight="1" s="25"/>
    <row r="589" ht="15.75" customHeight="1" s="25"/>
    <row r="590" ht="15.75" customHeight="1" s="25"/>
    <row r="591" ht="15.75" customHeight="1" s="25"/>
    <row r="592" ht="15.75" customHeight="1" s="25"/>
    <row r="593" ht="15.75" customHeight="1" s="25"/>
    <row r="594" ht="15.75" customHeight="1" s="25"/>
    <row r="595" ht="15.75" customHeight="1" s="25"/>
    <row r="596" ht="15.75" customHeight="1" s="25"/>
    <row r="597" ht="15.75" customHeight="1" s="25"/>
    <row r="598" ht="15.75" customHeight="1" s="25"/>
    <row r="599" ht="15.75" customHeight="1" s="25"/>
    <row r="600" ht="15.75" customHeight="1" s="25"/>
    <row r="601" ht="15.75" customHeight="1" s="25"/>
    <row r="602" ht="15.75" customHeight="1" s="25"/>
    <row r="603" ht="15.75" customHeight="1" s="25"/>
    <row r="604" ht="15.75" customHeight="1" s="25"/>
    <row r="605" ht="15.75" customHeight="1" s="25"/>
    <row r="606" ht="15.75" customHeight="1" s="25"/>
    <row r="607" ht="15.75" customHeight="1" s="25"/>
    <row r="608" ht="15.75" customHeight="1" s="25"/>
    <row r="609" ht="15.75" customHeight="1" s="25"/>
    <row r="610" ht="15.75" customHeight="1" s="25"/>
    <row r="611" ht="15.75" customHeight="1" s="25"/>
    <row r="612" ht="15.75" customHeight="1" s="25"/>
    <row r="613" ht="15.75" customHeight="1" s="25"/>
    <row r="614" ht="15.75" customHeight="1" s="25"/>
    <row r="615" ht="15.75" customHeight="1" s="25"/>
    <row r="616" ht="15.75" customHeight="1" s="25"/>
    <row r="617" ht="15.75" customHeight="1" s="25"/>
    <row r="618" ht="15.75" customHeight="1" s="25"/>
    <row r="619" ht="15.75" customHeight="1" s="25"/>
    <row r="620" ht="15.75" customHeight="1" s="25"/>
    <row r="621" ht="15.75" customHeight="1" s="25"/>
    <row r="622" ht="15.75" customHeight="1" s="25"/>
    <row r="623" ht="15.75" customHeight="1" s="25"/>
    <row r="624" ht="15.75" customHeight="1" s="25"/>
    <row r="625" ht="15.75" customHeight="1" s="25"/>
    <row r="626" ht="15.75" customHeight="1" s="25"/>
    <row r="627" ht="15.75" customHeight="1" s="25"/>
    <row r="628" ht="15.75" customHeight="1" s="25"/>
    <row r="629" ht="15.75" customHeight="1" s="25"/>
    <row r="630" ht="15.75" customHeight="1" s="25"/>
    <row r="631" ht="15.75" customHeight="1" s="25"/>
    <row r="632" ht="15.75" customHeight="1" s="25"/>
    <row r="633" ht="15.75" customHeight="1" s="25"/>
    <row r="634" ht="15.75" customHeight="1" s="25"/>
    <row r="635" ht="15.75" customHeight="1" s="25"/>
    <row r="636" ht="15.75" customHeight="1" s="25"/>
    <row r="637" ht="15.75" customHeight="1" s="25"/>
    <row r="638" ht="15.75" customHeight="1" s="25"/>
    <row r="639" ht="15.75" customHeight="1" s="25"/>
    <row r="640" ht="15.75" customHeight="1" s="25"/>
    <row r="641" ht="15.75" customHeight="1" s="25"/>
    <row r="642" ht="15.75" customHeight="1" s="25"/>
    <row r="643" ht="15.75" customHeight="1" s="25"/>
    <row r="644" ht="15.75" customHeight="1" s="25"/>
    <row r="645" ht="15.75" customHeight="1" s="25"/>
    <row r="646" ht="15.75" customHeight="1" s="25"/>
    <row r="647" ht="15.75" customHeight="1" s="25"/>
    <row r="648" ht="15.75" customHeight="1" s="25"/>
    <row r="649" ht="15.75" customHeight="1" s="25"/>
    <row r="650" ht="15.75" customHeight="1" s="25"/>
    <row r="651" ht="15.75" customHeight="1" s="25"/>
    <row r="652" ht="15.75" customHeight="1" s="25"/>
    <row r="653" ht="15.75" customHeight="1" s="25"/>
    <row r="654" ht="15.75" customHeight="1" s="25"/>
    <row r="655" ht="15.75" customHeight="1" s="25"/>
    <row r="656" ht="15.75" customHeight="1" s="25"/>
    <row r="657" ht="15.75" customHeight="1" s="25"/>
    <row r="658" ht="15.75" customHeight="1" s="25"/>
    <row r="659" ht="15.75" customHeight="1" s="25"/>
    <row r="660" ht="15.75" customHeight="1" s="25"/>
    <row r="661" ht="15.75" customHeight="1" s="25"/>
    <row r="662" ht="15.75" customHeight="1" s="25"/>
    <row r="663" ht="15.75" customHeight="1" s="25"/>
    <row r="664" ht="15.75" customHeight="1" s="25"/>
    <row r="665" ht="15.75" customHeight="1" s="25"/>
    <row r="666" ht="15.75" customHeight="1" s="25"/>
    <row r="667" ht="15.75" customHeight="1" s="25"/>
    <row r="668" ht="15.75" customHeight="1" s="25"/>
    <row r="669" ht="15.75" customHeight="1" s="25"/>
    <row r="670" ht="15.75" customHeight="1" s="25"/>
    <row r="671" ht="15.75" customHeight="1" s="25"/>
    <row r="672" ht="15.75" customHeight="1" s="25"/>
    <row r="673" ht="15.75" customHeight="1" s="25"/>
    <row r="674" ht="15.75" customHeight="1" s="25"/>
    <row r="675" ht="15.75" customHeight="1" s="25"/>
    <row r="676" ht="15.75" customHeight="1" s="25"/>
    <row r="677" ht="15.75" customHeight="1" s="25"/>
    <row r="678" ht="15.75" customHeight="1" s="25"/>
    <row r="679" ht="15.75" customHeight="1" s="25"/>
    <row r="680" ht="15.75" customHeight="1" s="25"/>
    <row r="681" ht="15.75" customHeight="1" s="25"/>
    <row r="682" ht="15.75" customHeight="1" s="25"/>
    <row r="683" ht="15.75" customHeight="1" s="25"/>
    <row r="684" ht="15.75" customHeight="1" s="25"/>
    <row r="685" ht="15.75" customHeight="1" s="25"/>
    <row r="686" ht="15.75" customHeight="1" s="25"/>
    <row r="687" ht="15.75" customHeight="1" s="25"/>
    <row r="688" ht="15.75" customHeight="1" s="25"/>
    <row r="689" ht="15.75" customHeight="1" s="25"/>
    <row r="690" ht="15.75" customHeight="1" s="25"/>
    <row r="691" ht="15.75" customHeight="1" s="25"/>
    <row r="692" ht="15.75" customHeight="1" s="25"/>
    <row r="693" ht="15.75" customHeight="1" s="25"/>
    <row r="694" ht="15.75" customHeight="1" s="25"/>
    <row r="695" ht="15.75" customHeight="1" s="25"/>
    <row r="696" ht="15.75" customHeight="1" s="25"/>
    <row r="697" ht="15.75" customHeight="1" s="25"/>
    <row r="698" ht="15.75" customHeight="1" s="25"/>
    <row r="699" ht="15.75" customHeight="1" s="25"/>
    <row r="700" ht="15.75" customHeight="1" s="25"/>
    <row r="701" ht="15.75" customHeight="1" s="25"/>
    <row r="702" ht="15.75" customHeight="1" s="25"/>
    <row r="703" ht="15.75" customHeight="1" s="25"/>
    <row r="704" ht="15.75" customHeight="1" s="25"/>
    <row r="705" ht="15.75" customHeight="1" s="25"/>
    <row r="706" ht="15.75" customHeight="1" s="25"/>
    <row r="707" ht="15.75" customHeight="1" s="25"/>
    <row r="708" ht="15.75" customHeight="1" s="25"/>
    <row r="709" ht="15.75" customHeight="1" s="25"/>
    <row r="710" ht="15.75" customHeight="1" s="25"/>
    <row r="711" ht="15.75" customHeight="1" s="25"/>
    <row r="712" ht="15.75" customHeight="1" s="25"/>
    <row r="713" ht="15.75" customHeight="1" s="25"/>
    <row r="714" ht="15.75" customHeight="1" s="25"/>
    <row r="715" ht="15.75" customHeight="1" s="25"/>
    <row r="716" ht="15.75" customHeight="1" s="25"/>
    <row r="717" ht="15.75" customHeight="1" s="25"/>
    <row r="718" ht="15.75" customHeight="1" s="25"/>
    <row r="719" ht="15.75" customHeight="1" s="25"/>
    <row r="720" ht="15.75" customHeight="1" s="25"/>
    <row r="721" ht="15.75" customHeight="1" s="25"/>
    <row r="722" ht="15.75" customHeight="1" s="25"/>
    <row r="723" ht="15.75" customHeight="1" s="25"/>
    <row r="724" ht="15.75" customHeight="1" s="25"/>
    <row r="725" ht="15.75" customHeight="1" s="25"/>
    <row r="726" ht="15.75" customHeight="1" s="25"/>
    <row r="727" ht="15.75" customHeight="1" s="25"/>
    <row r="728" ht="15.75" customHeight="1" s="25"/>
    <row r="729" ht="15.75" customHeight="1" s="25"/>
    <row r="730" ht="15.75" customHeight="1" s="25"/>
    <row r="731" ht="15.75" customHeight="1" s="25"/>
    <row r="732" ht="15.75" customHeight="1" s="25"/>
    <row r="733" ht="15.75" customHeight="1" s="25"/>
    <row r="734" ht="15.75" customHeight="1" s="25"/>
    <row r="735" ht="15.75" customHeight="1" s="25"/>
    <row r="736" ht="15.75" customHeight="1" s="25"/>
    <row r="737" ht="15.75" customHeight="1" s="25"/>
    <row r="738" ht="15.75" customHeight="1" s="25"/>
    <row r="739" ht="15.75" customHeight="1" s="25"/>
    <row r="740" ht="15.75" customHeight="1" s="25"/>
    <row r="741" ht="15.75" customHeight="1" s="25"/>
    <row r="742" ht="15.75" customHeight="1" s="25"/>
    <row r="743" ht="15.75" customHeight="1" s="25"/>
    <row r="744" ht="15.75" customHeight="1" s="25"/>
    <row r="745" ht="15.75" customHeight="1" s="25"/>
    <row r="746" ht="15.75" customHeight="1" s="25"/>
    <row r="747" ht="15.75" customHeight="1" s="25"/>
    <row r="748" ht="15.75" customHeight="1" s="25"/>
    <row r="749" ht="15.75" customHeight="1" s="25"/>
    <row r="750" ht="15.75" customHeight="1" s="25"/>
    <row r="751" ht="15.75" customHeight="1" s="25"/>
    <row r="752" ht="15.75" customHeight="1" s="25"/>
    <row r="753" ht="15.75" customHeight="1" s="25"/>
    <row r="754" ht="15.75" customHeight="1" s="25"/>
    <row r="755" ht="15.75" customHeight="1" s="25"/>
    <row r="756" ht="15.75" customHeight="1" s="25"/>
    <row r="757" ht="15.75" customHeight="1" s="25"/>
    <row r="758" ht="15.75" customHeight="1" s="25"/>
    <row r="759" ht="15.75" customHeight="1" s="25"/>
    <row r="760" ht="15.75" customHeight="1" s="25"/>
    <row r="761" ht="15.75" customHeight="1" s="25"/>
    <row r="762" ht="15.75" customHeight="1" s="25"/>
    <row r="763" ht="15.75" customHeight="1" s="25"/>
    <row r="764" ht="15.75" customHeight="1" s="25"/>
    <row r="765" ht="15.75" customHeight="1" s="25"/>
    <row r="766" ht="15.75" customHeight="1" s="25"/>
    <row r="767" ht="15.75" customHeight="1" s="25"/>
    <row r="768" ht="15.75" customHeight="1" s="25"/>
    <row r="769" ht="15.75" customHeight="1" s="25"/>
    <row r="770" ht="15.75" customHeight="1" s="25"/>
    <row r="771" ht="15.75" customHeight="1" s="25"/>
    <row r="772" ht="15.75" customHeight="1" s="25"/>
    <row r="773" ht="15.75" customHeight="1" s="25"/>
    <row r="774" ht="15.75" customHeight="1" s="25"/>
    <row r="775" ht="15.75" customHeight="1" s="25"/>
    <row r="776" ht="15.75" customHeight="1" s="25"/>
    <row r="777" ht="15.75" customHeight="1" s="25"/>
    <row r="778" ht="15.75" customHeight="1" s="25"/>
    <row r="779" ht="15.75" customHeight="1" s="25"/>
    <row r="780" ht="15.75" customHeight="1" s="25"/>
    <row r="781" ht="15.75" customHeight="1" s="25"/>
    <row r="782" ht="15.75" customHeight="1" s="25"/>
    <row r="783" ht="15.75" customHeight="1" s="25"/>
    <row r="784" ht="15.75" customHeight="1" s="25"/>
    <row r="785" ht="15.75" customHeight="1" s="25"/>
    <row r="786" ht="15.75" customHeight="1" s="25"/>
    <row r="787" ht="15.75" customHeight="1" s="25"/>
    <row r="788" ht="15.75" customHeight="1" s="25"/>
    <row r="789" ht="15.75" customHeight="1" s="25"/>
    <row r="790" ht="15.75" customHeight="1" s="25"/>
    <row r="791" ht="15.75" customHeight="1" s="25"/>
    <row r="792" ht="15.75" customHeight="1" s="25"/>
    <row r="793" ht="15.75" customHeight="1" s="25"/>
    <row r="794" ht="15.75" customHeight="1" s="25"/>
    <row r="795" ht="15.75" customHeight="1" s="25"/>
    <row r="796" ht="15.75" customHeight="1" s="25"/>
    <row r="797" ht="15.75" customHeight="1" s="25"/>
    <row r="798" ht="15.75" customHeight="1" s="25"/>
    <row r="799" ht="15.75" customHeight="1" s="25"/>
    <row r="800" ht="15.75" customHeight="1" s="25"/>
    <row r="801" ht="15.75" customHeight="1" s="25"/>
    <row r="802" ht="15.75" customHeight="1" s="25"/>
    <row r="803" ht="15.75" customHeight="1" s="25"/>
    <row r="804" ht="15.75" customHeight="1" s="25"/>
    <row r="805" ht="15.75" customHeight="1" s="25"/>
    <row r="806" ht="15.75" customHeight="1" s="25"/>
    <row r="807" ht="15.75" customHeight="1" s="25"/>
    <row r="808" ht="15.75" customHeight="1" s="25"/>
    <row r="809" ht="15.75" customHeight="1" s="25"/>
    <row r="810" ht="15.75" customHeight="1" s="25"/>
    <row r="811" ht="15.75" customHeight="1" s="25"/>
    <row r="812" ht="15.75" customHeight="1" s="25"/>
    <row r="813" ht="15.75" customHeight="1" s="25"/>
    <row r="814" ht="15.75" customHeight="1" s="25"/>
    <row r="815" ht="15.75" customHeight="1" s="25"/>
    <row r="816" ht="15.75" customHeight="1" s="25"/>
    <row r="817" ht="15.75" customHeight="1" s="25"/>
    <row r="818" ht="15.75" customHeight="1" s="25"/>
    <row r="819" ht="15.75" customHeight="1" s="25"/>
    <row r="820" ht="15.75" customHeight="1" s="25"/>
    <row r="821" ht="15.75" customHeight="1" s="25"/>
    <row r="822" ht="15.75" customHeight="1" s="25"/>
    <row r="823" ht="15.75" customHeight="1" s="25"/>
    <row r="824" ht="15.75" customHeight="1" s="25"/>
    <row r="825" ht="15.75" customHeight="1" s="25"/>
    <row r="826" ht="15.75" customHeight="1" s="25"/>
    <row r="827" ht="15.75" customHeight="1" s="25"/>
    <row r="828" ht="15.75" customHeight="1" s="25"/>
    <row r="829" ht="15.75" customHeight="1" s="25"/>
    <row r="830" ht="15.75" customHeight="1" s="25"/>
    <row r="831" ht="15.75" customHeight="1" s="25"/>
    <row r="832" ht="15.75" customHeight="1" s="25"/>
    <row r="833" ht="15.75" customHeight="1" s="25"/>
    <row r="834" ht="15.75" customHeight="1" s="25"/>
    <row r="835" ht="15.75" customHeight="1" s="25"/>
    <row r="836" ht="15.75" customHeight="1" s="25"/>
    <row r="837" ht="15.75" customHeight="1" s="25"/>
    <row r="838" ht="15.75" customHeight="1" s="25"/>
    <row r="839" ht="15.75" customHeight="1" s="25"/>
    <row r="840" ht="15.75" customHeight="1" s="25"/>
    <row r="841" ht="15.75" customHeight="1" s="25"/>
    <row r="842" ht="15.75" customHeight="1" s="25"/>
    <row r="843" ht="15.75" customHeight="1" s="25"/>
    <row r="844" ht="15.75" customHeight="1" s="25"/>
    <row r="845" ht="15.75" customHeight="1" s="25"/>
    <row r="846" ht="15.75" customHeight="1" s="25"/>
    <row r="847" ht="15.75" customHeight="1" s="25"/>
    <row r="848" ht="15.75" customHeight="1" s="25"/>
    <row r="849" ht="15.75" customHeight="1" s="25"/>
    <row r="850" ht="15.75" customHeight="1" s="25"/>
    <row r="851" ht="15.75" customHeight="1" s="25"/>
    <row r="852" ht="15.75" customHeight="1" s="25"/>
    <row r="853" ht="15.75" customHeight="1" s="25"/>
    <row r="854" ht="15.75" customHeight="1" s="25"/>
    <row r="855" ht="15.75" customHeight="1" s="25"/>
    <row r="856" ht="15.75" customHeight="1" s="25"/>
    <row r="857" ht="15.75" customHeight="1" s="25"/>
    <row r="858" ht="15.75" customHeight="1" s="25"/>
    <row r="859" ht="15.75" customHeight="1" s="25"/>
    <row r="860" ht="15.75" customHeight="1" s="25"/>
    <row r="861" ht="15.75" customHeight="1" s="25"/>
    <row r="862" ht="15.75" customHeight="1" s="25"/>
    <row r="863" ht="15.75" customHeight="1" s="25"/>
    <row r="864" ht="15.75" customHeight="1" s="25"/>
    <row r="865" ht="15.75" customHeight="1" s="25"/>
    <row r="866" ht="15.75" customHeight="1" s="25"/>
    <row r="867" ht="15.75" customHeight="1" s="25"/>
    <row r="868" ht="15.75" customHeight="1" s="25"/>
    <row r="869" ht="15.75" customHeight="1" s="25"/>
    <row r="870" ht="15.75" customHeight="1" s="25"/>
    <row r="871" ht="15.75" customHeight="1" s="25"/>
    <row r="872" ht="15.75" customHeight="1" s="25"/>
    <row r="873" ht="15.75" customHeight="1" s="25"/>
    <row r="874" ht="15.75" customHeight="1" s="25"/>
    <row r="875" ht="15.75" customHeight="1" s="25"/>
    <row r="876" ht="15.75" customHeight="1" s="25"/>
    <row r="877" ht="15.75" customHeight="1" s="25"/>
    <row r="878" ht="15.75" customHeight="1" s="25"/>
    <row r="879" ht="15.75" customHeight="1" s="25"/>
    <row r="880" ht="15.75" customHeight="1" s="25"/>
    <row r="881" ht="15.75" customHeight="1" s="25"/>
    <row r="882" ht="15.75" customHeight="1" s="25"/>
    <row r="883" ht="15.75" customHeight="1" s="25"/>
    <row r="884" ht="15.75" customHeight="1" s="25"/>
    <row r="885" ht="15.75" customHeight="1" s="25"/>
    <row r="886" ht="15.75" customHeight="1" s="25"/>
    <row r="887" ht="15.75" customHeight="1" s="25"/>
    <row r="888" ht="15.75" customHeight="1" s="25"/>
    <row r="889" ht="15.75" customHeight="1" s="25"/>
    <row r="890" ht="15.75" customHeight="1" s="25"/>
    <row r="891" ht="15.75" customHeight="1" s="25"/>
    <row r="892" ht="15.75" customHeight="1" s="25"/>
    <row r="893" ht="15.75" customHeight="1" s="25"/>
    <row r="894" ht="15.75" customHeight="1" s="25"/>
    <row r="895" ht="15.75" customHeight="1" s="25"/>
    <row r="896" ht="15.75" customHeight="1" s="25"/>
    <row r="897" ht="15.75" customHeight="1" s="25"/>
    <row r="898" ht="15.75" customHeight="1" s="25"/>
    <row r="899" ht="15.75" customHeight="1" s="25"/>
    <row r="900" ht="15.75" customHeight="1" s="25"/>
    <row r="901" ht="15.75" customHeight="1" s="25"/>
    <row r="902" ht="15.75" customHeight="1" s="25"/>
    <row r="903" ht="15.75" customHeight="1" s="25"/>
    <row r="904" ht="15.75" customHeight="1" s="25"/>
    <row r="905" ht="15.75" customHeight="1" s="25"/>
    <row r="906" ht="15.75" customHeight="1" s="25"/>
    <row r="907" ht="15.75" customHeight="1" s="25"/>
    <row r="908" ht="15.75" customHeight="1" s="25"/>
    <row r="909" ht="15.75" customHeight="1" s="25"/>
    <row r="910" ht="15.75" customHeight="1" s="25"/>
    <row r="911" ht="15.75" customHeight="1" s="25"/>
    <row r="912" ht="15.75" customHeight="1" s="25"/>
    <row r="913" ht="15.75" customHeight="1" s="25"/>
    <row r="914" ht="15.75" customHeight="1" s="25"/>
    <row r="915" ht="15.75" customHeight="1" s="25"/>
    <row r="916" ht="15.75" customHeight="1" s="25"/>
    <row r="917" ht="15.75" customHeight="1" s="25"/>
    <row r="918" ht="15.75" customHeight="1" s="25"/>
    <row r="919" ht="15.75" customHeight="1" s="25"/>
    <row r="920" ht="15.75" customHeight="1" s="25"/>
    <row r="921" ht="15.75" customHeight="1" s="25"/>
    <row r="922" ht="15.75" customHeight="1" s="25"/>
    <row r="923" ht="15.75" customHeight="1" s="25"/>
    <row r="924" ht="15.75" customHeight="1" s="25"/>
    <row r="925" ht="15.75" customHeight="1" s="25"/>
    <row r="926" ht="15.75" customHeight="1" s="25"/>
    <row r="927" ht="15.75" customHeight="1" s="25"/>
    <row r="928" ht="15.75" customHeight="1" s="25"/>
    <row r="929" ht="15.75" customHeight="1" s="25"/>
    <row r="930" ht="15.75" customHeight="1" s="25"/>
    <row r="931" ht="15.75" customHeight="1" s="25"/>
    <row r="932" ht="15.75" customHeight="1" s="25"/>
    <row r="933" ht="15.75" customHeight="1" s="25"/>
    <row r="934" ht="15.75" customHeight="1" s="25"/>
    <row r="935" ht="15.75" customHeight="1" s="25"/>
    <row r="936" ht="15.75" customHeight="1" s="25"/>
    <row r="937" ht="15.75" customHeight="1" s="25"/>
    <row r="938" ht="15.75" customHeight="1" s="25"/>
    <row r="939" ht="15.75" customHeight="1" s="25"/>
    <row r="940" ht="15.75" customHeight="1" s="25"/>
    <row r="941" ht="15.75" customHeight="1" s="25"/>
    <row r="942" ht="15.75" customHeight="1" s="25"/>
    <row r="943" ht="15.75" customHeight="1" s="25"/>
    <row r="944" ht="15.75" customHeight="1" s="25"/>
    <row r="945" ht="15.75" customHeight="1" s="25"/>
    <row r="946" ht="15.75" customHeight="1" s="25"/>
    <row r="947" ht="15.75" customHeight="1" s="25"/>
    <row r="948" ht="15.75" customHeight="1" s="25"/>
    <row r="949" ht="15.75" customHeight="1" s="25"/>
    <row r="950" ht="15.75" customHeight="1" s="25"/>
    <row r="951" ht="15.75" customHeight="1" s="25"/>
    <row r="952" ht="15.75" customHeight="1" s="25"/>
    <row r="953" ht="15.75" customHeight="1" s="25"/>
    <row r="954" ht="15.75" customHeight="1" s="25"/>
    <row r="955" ht="15.75" customHeight="1" s="25"/>
    <row r="956" ht="15.75" customHeight="1" s="25"/>
    <row r="957" ht="15.75" customHeight="1" s="25"/>
    <row r="958" ht="15.75" customHeight="1" s="25"/>
    <row r="959" ht="15.75" customHeight="1" s="25"/>
    <row r="960" ht="15.75" customHeight="1" s="25"/>
    <row r="961" ht="15.75" customHeight="1" s="25"/>
    <row r="962" ht="15.75" customHeight="1" s="25"/>
    <row r="963" ht="15.75" customHeight="1" s="25"/>
    <row r="964" ht="15.75" customHeight="1" s="25"/>
    <row r="965" ht="15.75" customHeight="1" s="25"/>
    <row r="966" ht="15.75" customHeight="1" s="25"/>
    <row r="967" ht="15.75" customHeight="1" s="25"/>
    <row r="968" ht="15.75" customHeight="1" s="25"/>
    <row r="969" ht="15.75" customHeight="1" s="25"/>
    <row r="970" ht="15.75" customHeight="1" s="25"/>
    <row r="971" ht="15.75" customHeight="1" s="25"/>
    <row r="972" ht="15.75" customHeight="1" s="25"/>
    <row r="973" ht="15.75" customHeight="1" s="25"/>
    <row r="974" ht="15.75" customHeight="1" s="25"/>
    <row r="975" ht="15.75" customHeight="1" s="25"/>
    <row r="976" ht="15.75" customHeight="1" s="25"/>
    <row r="977" ht="15.75" customHeight="1" s="25"/>
    <row r="978" ht="15.75" customHeight="1" s="25"/>
    <row r="979" ht="15.75" customHeight="1" s="25"/>
    <row r="980" ht="15.75" customHeight="1" s="25"/>
    <row r="981" ht="15.75" customHeight="1" s="25"/>
    <row r="982" ht="15.75" customHeight="1" s="25"/>
    <row r="983" ht="15.75" customHeight="1" s="25"/>
    <row r="984" ht="15.75" customHeight="1" s="25"/>
    <row r="985" ht="15.75" customHeight="1" s="25"/>
    <row r="986" ht="15.75" customHeight="1" s="25"/>
    <row r="987" ht="15.75" customHeight="1" s="25"/>
    <row r="988" ht="15.75" customHeight="1" s="25"/>
    <row r="989" ht="15.75" customHeight="1" s="25"/>
    <row r="990" ht="15.75" customHeight="1" s="25"/>
    <row r="991" ht="15.75" customHeight="1" s="25"/>
    <row r="992" ht="15.75" customHeight="1" s="25"/>
    <row r="993" ht="15.75" customHeight="1" s="25"/>
    <row r="994" ht="15.75" customHeight="1" s="25"/>
    <row r="995" ht="15.75" customHeight="1" s="25"/>
    <row r="996" ht="15.75" customHeight="1" s="25"/>
    <row r="997" ht="15.75" customHeight="1" s="25"/>
    <row r="998" ht="15.75" customHeight="1" s="25"/>
    <row r="999" ht="15.75" customHeight="1" s="25"/>
    <row r="1000" ht="15.75" customHeight="1" s="25"/>
  </sheetData>
  <autoFilter ref="A4:E27"/>
  <mergeCells count="2">
    <mergeCell ref="A2:E2"/>
    <mergeCell ref="A1:E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legacyDrawing xmlns:r="http://schemas.openxmlformats.org/officeDocument/2006/relationships" r:id="anysvml"/>
</worksheet>
</file>

<file path=xl/worksheets/sheet6.xml><?xml version="1.0" encoding="utf-8"?>
<worksheet xmlns="http://schemas.openxmlformats.org/spreadsheetml/2006/main">
  <sheetPr filterMode="0">
    <outlinePr summaryBelow="1" summaryRight="1"/>
    <pageSetUpPr fitToPage="0"/>
  </sheetPr>
  <dimension ref="A1:E2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4.43359375" defaultRowHeight="15" zeroHeight="0" outlineLevelRow="0"/>
  <cols>
    <col width="18" customWidth="1" style="24" min="1" max="1"/>
    <col width="10" customWidth="1" style="24" min="2" max="2"/>
    <col width="40" customWidth="1" style="24" min="3" max="3"/>
    <col width="14" customWidth="1" style="24" min="4" max="4"/>
    <col width="44" customWidth="1" style="24" min="5" max="5"/>
    <col width="8.710000000000001" customWidth="1" style="24" min="6" max="26"/>
  </cols>
  <sheetData>
    <row r="1" ht="17.25" customHeight="1" s="25">
      <c r="A1" s="47" t="inlineStr">
        <is>
          <t>Native event map</t>
        </is>
      </c>
    </row>
    <row r="2" ht="15" customHeight="1" s="25">
      <c r="A2" s="24" t="inlineStr">
        <is>
          <t>The platform's 26 postevents types, and where each one sits in this register. Scored = used by a Wave 1A model. Capture only = copied by the engine and kept, no model weight (adding one needs its own specification).</t>
        </is>
      </c>
    </row>
    <row r="3" ht="15" customHeight="1" s="25">
      <c r="A3" s="43" t="inlineStr">
        <is>
          <t>event_type</t>
        </is>
      </c>
      <c r="B3" s="43" t="inlineStr">
        <is>
          <t>E code</t>
        </is>
      </c>
      <c r="C3" s="43" t="inlineStr">
        <is>
          <t>Scored in Wave 1A</t>
        </is>
      </c>
      <c r="D3" s="43" t="inlineStr">
        <is>
          <t>Written by</t>
        </is>
      </c>
      <c r="E3" s="43" t="inlineStr">
        <is>
          <t>Note</t>
        </is>
      </c>
    </row>
    <row r="4" ht="23.25" customHeight="1" s="25">
      <c r="A4" s="44" t="inlineStr">
        <is>
          <t>impression</t>
        </is>
      </c>
      <c r="B4" s="45" t="inlineStr">
        <is>
          <t>E2</t>
        </is>
      </c>
      <c r="C4" s="45" t="inlineStr">
        <is>
          <t>Measurement only (M1 does not use impressions)</t>
        </is>
      </c>
      <c r="D4" s="45" t="inlineStr">
        <is>
          <t>App</t>
        </is>
      </c>
      <c r="E4" s="45" t="inlineStr">
        <is>
          <t>post_detail impressions are page visits (X-05)</t>
        </is>
      </c>
    </row>
    <row r="5" ht="15" customHeight="1" s="25">
      <c r="A5" s="44" t="inlineStr">
        <is>
          <t>click</t>
        </is>
      </c>
      <c r="B5" s="45" t="inlineStr">
        <is>
          <t>E3</t>
        </is>
      </c>
      <c r="C5" s="45" t="inlineStr">
        <is>
          <t>M1</t>
        </is>
      </c>
      <c r="D5" s="45" t="inlineStr">
        <is>
          <t>App</t>
        </is>
      </c>
      <c r="E5" s="45" t="n"/>
    </row>
    <row r="6" ht="15" customHeight="1" s="25">
      <c r="A6" s="44" t="inlineStr">
        <is>
          <t>product_click</t>
        </is>
      </c>
      <c r="B6" s="45" t="inlineStr">
        <is>
          <t>E3</t>
        </is>
      </c>
      <c r="C6" s="45" t="inlineStr">
        <is>
          <t>M1</t>
        </is>
      </c>
      <c r="D6" s="45" t="inlineStr">
        <is>
          <t>Server</t>
        </is>
      </c>
      <c r="E6" s="45" t="inlineStr">
        <is>
          <t>Older builds</t>
        </is>
      </c>
    </row>
    <row r="7" ht="15" customHeight="1" s="25">
      <c r="A7" s="44" t="inlineStr">
        <is>
          <t>view</t>
        </is>
      </c>
      <c r="B7" s="45" t="inlineStr">
        <is>
          <t>—</t>
        </is>
      </c>
      <c r="C7" s="45" t="inlineStr">
        <is>
          <t>M1 qualified view when dwell_ms ≥ 3,000</t>
        </is>
      </c>
      <c r="D7" s="45" t="inlineStr">
        <is>
          <t>Server</t>
        </is>
      </c>
      <c r="E7" s="45" t="inlineStr">
        <is>
          <t>One per viewer per post</t>
        </is>
      </c>
    </row>
    <row r="8" ht="15" customHeight="1" s="25">
      <c r="A8" s="44" t="inlineStr">
        <is>
          <t>like</t>
        </is>
      </c>
      <c r="B8" s="45" t="inlineStr">
        <is>
          <t>E9</t>
        </is>
      </c>
      <c r="C8" s="45" t="inlineStr">
        <is>
          <t>M1</t>
        </is>
      </c>
      <c r="D8" s="45" t="inlineStr">
        <is>
          <t>Server</t>
        </is>
      </c>
      <c r="E8" s="45" t="n"/>
    </row>
    <row r="9" ht="15" customHeight="1" s="25">
      <c r="A9" s="44" t="inlineStr">
        <is>
          <t>unlike</t>
        </is>
      </c>
      <c r="B9" s="45" t="inlineStr">
        <is>
          <t>E9</t>
        </is>
      </c>
      <c r="C9" s="45" t="inlineStr">
        <is>
          <t>M1 (removes the like)</t>
        </is>
      </c>
      <c r="D9" s="45" t="inlineStr">
        <is>
          <t>Server</t>
        </is>
      </c>
      <c r="E9" s="45" t="inlineStr">
        <is>
          <t>undo_of the like</t>
        </is>
      </c>
    </row>
    <row r="10" ht="15" customHeight="1" s="25">
      <c r="A10" s="44" t="inlineStr">
        <is>
          <t>comment</t>
        </is>
      </c>
      <c r="B10" s="45" t="inlineStr">
        <is>
          <t>E9</t>
        </is>
      </c>
      <c r="C10" s="45" t="inlineStr">
        <is>
          <t>M1</t>
        </is>
      </c>
      <c r="D10" s="45" t="inlineStr">
        <is>
          <t>Server</t>
        </is>
      </c>
      <c r="E10" s="45" t="n"/>
    </row>
    <row r="11" ht="15" customHeight="1" s="25">
      <c r="A11" s="44" t="inlineStr">
        <is>
          <t>uncomment</t>
        </is>
      </c>
      <c r="B11" s="45" t="inlineStr">
        <is>
          <t>E9</t>
        </is>
      </c>
      <c r="C11" s="45" t="inlineStr">
        <is>
          <t>M1 (removes the comment)</t>
        </is>
      </c>
      <c r="D11" s="45" t="inlineStr">
        <is>
          <t>Server</t>
        </is>
      </c>
      <c r="E11" s="45" t="inlineStr">
        <is>
          <t>undo_of the comment</t>
        </is>
      </c>
    </row>
    <row r="12" ht="15" customHeight="1" s="25">
      <c r="A12" s="44" t="inlineStr">
        <is>
          <t>share</t>
        </is>
      </c>
      <c r="B12" s="45" t="inlineStr">
        <is>
          <t>E9</t>
        </is>
      </c>
      <c r="C12" s="45" t="inlineStr">
        <is>
          <t>M1</t>
        </is>
      </c>
      <c r="D12" s="45" t="inlineStr">
        <is>
          <t>Server</t>
        </is>
      </c>
      <c r="E12" s="45" t="n"/>
    </row>
    <row r="13" ht="15" customHeight="1" s="25">
      <c r="A13" s="44" t="inlineStr">
        <is>
          <t>save</t>
        </is>
      </c>
      <c r="B13" s="45" t="inlineStr">
        <is>
          <t>E9</t>
        </is>
      </c>
      <c r="C13" s="45" t="inlineStr">
        <is>
          <t>M1</t>
        </is>
      </c>
      <c r="D13" s="45" t="inlineStr">
        <is>
          <t>Server</t>
        </is>
      </c>
      <c r="E13" s="45" t="n"/>
    </row>
    <row r="14" ht="15" customHeight="1" s="25">
      <c r="A14" s="44" t="inlineStr">
        <is>
          <t>unsave</t>
        </is>
      </c>
      <c r="B14" s="45" t="inlineStr">
        <is>
          <t>E9</t>
        </is>
      </c>
      <c r="C14" s="45" t="inlineStr">
        <is>
          <t>M1 (removes the save)</t>
        </is>
      </c>
      <c r="D14" s="45" t="inlineStr">
        <is>
          <t>Server</t>
        </is>
      </c>
      <c r="E14" s="45" t="inlineStr">
        <is>
          <t>undo_of the save</t>
        </is>
      </c>
    </row>
    <row r="15" ht="15" customHeight="1" s="25">
      <c r="A15" s="44" t="inlineStr">
        <is>
          <t>repost</t>
        </is>
      </c>
      <c r="B15" s="45" t="inlineStr">
        <is>
          <t>E9</t>
        </is>
      </c>
      <c r="C15" s="45" t="inlineStr">
        <is>
          <t>Capture only</t>
        </is>
      </c>
      <c r="D15" s="45" t="inlineStr">
        <is>
          <t>Server</t>
        </is>
      </c>
      <c r="E15" s="45" t="n"/>
    </row>
    <row r="16" ht="15" customHeight="1" s="25">
      <c r="A16" s="44" t="inlineStr">
        <is>
          <t>follow</t>
        </is>
      </c>
      <c r="B16" s="45" t="inlineStr">
        <is>
          <t>E9</t>
        </is>
      </c>
      <c r="C16" s="45" t="inlineStr">
        <is>
          <t>M1 (business follows)</t>
        </is>
      </c>
      <c r="D16" s="45" t="inlineStr">
        <is>
          <t>Server</t>
        </is>
      </c>
      <c r="E16" s="45" t="inlineStr">
        <is>
          <t>influencer_id = the account followed</t>
        </is>
      </c>
    </row>
    <row r="17" ht="15" customHeight="1" s="25">
      <c r="A17" s="44" t="inlineStr">
        <is>
          <t>unfollow</t>
        </is>
      </c>
      <c r="B17" s="45" t="inlineStr">
        <is>
          <t>E9</t>
        </is>
      </c>
      <c r="C17" s="45" t="inlineStr">
        <is>
          <t>M1 (removes the follow)</t>
        </is>
      </c>
      <c r="D17" s="45" t="inlineStr">
        <is>
          <t>Server</t>
        </is>
      </c>
      <c r="E17" s="45" t="inlineStr">
        <is>
          <t>undo_of the follow</t>
        </is>
      </c>
    </row>
    <row r="18" ht="15" customHeight="1" s="25">
      <c r="A18" s="44" t="inlineStr">
        <is>
          <t>add_to_cart</t>
        </is>
      </c>
      <c r="B18" s="45" t="inlineStr">
        <is>
          <t>E4</t>
        </is>
      </c>
      <c r="C18" s="45" t="inlineStr">
        <is>
          <t>M1, M5</t>
        </is>
      </c>
      <c r="D18" s="45" t="inlineStr">
        <is>
          <t>Server</t>
        </is>
      </c>
      <c r="E18" s="45" t="inlineStr">
        <is>
          <t>list from carts.ml</t>
        </is>
      </c>
    </row>
    <row r="19" ht="15" customHeight="1" s="25">
      <c r="A19" s="44" t="inlineStr">
        <is>
          <t>remove_from_cart</t>
        </is>
      </c>
      <c r="B19" s="45" t="inlineStr">
        <is>
          <t>E4</t>
        </is>
      </c>
      <c r="C19" s="45" t="inlineStr">
        <is>
          <t>Capture only</t>
        </is>
      </c>
      <c r="D19" s="45" t="inlineStr">
        <is>
          <t>Server</t>
        </is>
      </c>
      <c r="E19" s="45" t="inlineStr">
        <is>
          <t>list from carts.ml</t>
        </is>
      </c>
    </row>
    <row r="20" ht="15" customHeight="1" s="25">
      <c r="A20" s="44" t="inlineStr">
        <is>
          <t>purchase</t>
        </is>
      </c>
      <c r="B20" s="45" t="inlineStr">
        <is>
          <t>E5</t>
        </is>
      </c>
      <c r="C20" s="45" t="inlineStr">
        <is>
          <t>M1, M5, M8 via the order</t>
        </is>
      </c>
      <c r="D20" s="45" t="inlineStr">
        <is>
          <t>Server</t>
        </is>
      </c>
      <c r="E20" s="45" t="inlineStr">
        <is>
          <t>the order is the authority (X-18)</t>
        </is>
      </c>
    </row>
    <row r="21" ht="15.75" customHeight="1" s="25">
      <c r="A21" s="44" t="inlineStr">
        <is>
          <t>feedback</t>
        </is>
      </c>
      <c r="B21" s="45" t="inlineStr">
        <is>
          <t>E13</t>
        </is>
      </c>
      <c r="C21" s="45" t="inlineStr">
        <is>
          <t>M1, filters</t>
        </is>
      </c>
      <c r="D21" s="45" t="inlineStr">
        <is>
          <t>App</t>
        </is>
      </c>
      <c r="E21" s="45" t="inlineStr">
        <is>
          <t>not_interested, hide, report, mute_author</t>
        </is>
      </c>
    </row>
    <row r="22" ht="15.75" customHeight="1" s="25">
      <c r="A22" s="44" t="inlineStr">
        <is>
          <t>product_view</t>
        </is>
      </c>
      <c r="B22" s="45" t="inlineStr">
        <is>
          <t>—</t>
        </is>
      </c>
      <c r="C22" s="45" t="inlineStr">
        <is>
          <t>Capture only</t>
        </is>
      </c>
      <c r="D22" s="45" t="inlineStr">
        <is>
          <t>App</t>
        </is>
      </c>
      <c r="E22" s="45" t="n"/>
    </row>
    <row r="23" ht="15.75" customHeight="1" s="25">
      <c r="A23" s="44" t="inlineStr">
        <is>
          <t>video_play</t>
        </is>
      </c>
      <c r="B23" s="45" t="inlineStr">
        <is>
          <t>—</t>
        </is>
      </c>
      <c r="C23" s="45" t="inlineStr">
        <is>
          <t>Capture only</t>
        </is>
      </c>
      <c r="D23" s="45" t="inlineStr">
        <is>
          <t>App</t>
        </is>
      </c>
      <c r="E23" s="45" t="n"/>
    </row>
    <row r="24" ht="15.75" customHeight="1" s="25">
      <c r="A24" s="44" t="inlineStr">
        <is>
          <t>video_complete</t>
        </is>
      </c>
      <c r="B24" s="45" t="inlineStr">
        <is>
          <t>—</t>
        </is>
      </c>
      <c r="C24" s="45" t="inlineStr">
        <is>
          <t>Capture only</t>
        </is>
      </c>
      <c r="D24" s="45" t="inlineStr">
        <is>
          <t>App</t>
        </is>
      </c>
      <c r="E24" s="45" t="n"/>
    </row>
    <row r="25" ht="15.75" customHeight="1" s="25">
      <c r="A25" s="44" t="inlineStr">
        <is>
          <t>variant_select</t>
        </is>
      </c>
      <c r="B25" s="45" t="inlineStr">
        <is>
          <t>—</t>
        </is>
      </c>
      <c r="C25" s="45" t="inlineStr">
        <is>
          <t>Capture only</t>
        </is>
      </c>
      <c r="D25" s="45" t="inlineStr">
        <is>
          <t>App</t>
        </is>
      </c>
      <c r="E25" s="45" t="n"/>
    </row>
    <row r="26" ht="15.75" customHeight="1" s="25">
      <c r="A26" s="44" t="inlineStr">
        <is>
          <t>checkout_start</t>
        </is>
      </c>
      <c r="B26" s="45" t="inlineStr">
        <is>
          <t>—</t>
        </is>
      </c>
      <c r="C26" s="45" t="inlineStr">
        <is>
          <t>Capture only</t>
        </is>
      </c>
      <c r="D26" s="45" t="inlineStr">
        <is>
          <t>App</t>
        </is>
      </c>
      <c r="E26" s="45" t="inlineStr">
        <is>
          <t>carries checkout_id</t>
        </is>
      </c>
    </row>
    <row r="27" ht="15.75" customHeight="1" s="25">
      <c r="A27" s="44" t="inlineStr">
        <is>
          <t>wishlist_add</t>
        </is>
      </c>
      <c r="B27" s="45" t="inlineStr">
        <is>
          <t>—</t>
        </is>
      </c>
      <c r="C27" s="45" t="inlineStr">
        <is>
          <t>Capture only</t>
        </is>
      </c>
      <c r="D27" s="45" t="inlineStr">
        <is>
          <t>Server</t>
        </is>
      </c>
      <c r="E27" s="45" t="n"/>
    </row>
    <row r="28" ht="15.75" customHeight="1" s="25">
      <c r="A28" s="44" t="inlineStr">
        <is>
          <t>wishlist_remove</t>
        </is>
      </c>
      <c r="B28" s="45" t="inlineStr">
        <is>
          <t>—</t>
        </is>
      </c>
      <c r="C28" s="45" t="inlineStr">
        <is>
          <t>Capture only</t>
        </is>
      </c>
      <c r="D28" s="45" t="inlineStr">
        <is>
          <t>Server</t>
        </is>
      </c>
      <c r="E28" s="45" t="inlineStr">
        <is>
          <t>undo_of the add</t>
        </is>
      </c>
    </row>
    <row r="29" ht="15.75" customHeight="1" s="25">
      <c r="A29" s="44" t="inlineStr">
        <is>
          <t>search</t>
        </is>
      </c>
      <c r="B29" s="45" t="inlineStr">
        <is>
          <t>—</t>
        </is>
      </c>
      <c r="C29" s="45" t="inlineStr">
        <is>
          <t>Capture only</t>
        </is>
      </c>
      <c r="D29" s="45" t="inlineStr">
        <is>
          <t>App / server</t>
        </is>
      </c>
      <c r="E29" s="45" t="inlineStr">
        <is>
          <t>full log in searchqueries</t>
        </is>
      </c>
    </row>
    <row r="30" ht="15.75" customHeight="1" s="25"/>
    <row r="31" ht="15.75" customHeight="1" s="25"/>
    <row r="32" ht="15.75" customHeight="1" s="25"/>
    <row r="33" ht="15.75" customHeight="1" s="25"/>
    <row r="34" ht="15.75" customHeight="1" s="25"/>
    <row r="35" ht="15.75" customHeight="1" s="25"/>
    <row r="36" ht="15.75" customHeight="1" s="25"/>
    <row r="37" ht="15.75" customHeight="1" s="25"/>
    <row r="38" ht="15.75" customHeight="1" s="25"/>
    <row r="39" ht="15.75" customHeight="1" s="25"/>
    <row r="40" ht="15.75" customHeight="1" s="25"/>
    <row r="41" ht="15.75" customHeight="1" s="25"/>
    <row r="42" ht="15.75" customHeight="1" s="25"/>
    <row r="43" ht="15.75" customHeight="1" s="25"/>
    <row r="44" ht="15.75" customHeight="1" s="25"/>
    <row r="45" ht="15.75" customHeight="1" s="25"/>
    <row r="46" ht="15.75" customHeight="1" s="25"/>
    <row r="47" ht="15.75" customHeight="1" s="25"/>
    <row r="48" ht="15.75" customHeight="1" s="25"/>
    <row r="49" ht="15.75" customHeight="1" s="25"/>
    <row r="50" ht="15.75" customHeight="1" s="25"/>
    <row r="51" ht="15.75" customHeight="1" s="25"/>
    <row r="52" ht="15.75" customHeight="1" s="25"/>
    <row r="53" ht="15.75" customHeight="1" s="25"/>
    <row r="54" ht="15.75" customHeight="1" s="25"/>
    <row r="55" ht="15.75" customHeight="1" s="25"/>
    <row r="56" ht="15.75" customHeight="1" s="25"/>
    <row r="57" ht="15.75" customHeight="1" s="25"/>
    <row r="58" ht="15.75" customHeight="1" s="25"/>
    <row r="59" ht="15.75" customHeight="1" s="25"/>
    <row r="60" ht="15.75" customHeight="1" s="25"/>
    <row r="61" ht="15.75" customHeight="1" s="25"/>
    <row r="62" ht="15.75" customHeight="1" s="25"/>
    <row r="63" ht="15.75" customHeight="1" s="25"/>
    <row r="64" ht="15.75" customHeight="1" s="25"/>
    <row r="65" ht="15.75" customHeight="1" s="25"/>
    <row r="66" ht="15.75" customHeight="1" s="25"/>
    <row r="67" ht="15.75" customHeight="1" s="25"/>
    <row r="68" ht="15.75" customHeight="1" s="25"/>
    <row r="69" ht="15.75" customHeight="1" s="25"/>
    <row r="70" ht="15.75" customHeight="1" s="25"/>
    <row r="71" ht="15.75" customHeight="1" s="25"/>
    <row r="72" ht="15.75" customHeight="1" s="25"/>
    <row r="73" ht="15.75" customHeight="1" s="25"/>
    <row r="74" ht="15.75" customHeight="1" s="25"/>
    <row r="75" ht="15.75" customHeight="1" s="25"/>
    <row r="76" ht="15.75" customHeight="1" s="25"/>
    <row r="77" ht="15.75" customHeight="1" s="25"/>
    <row r="78" ht="15.75" customHeight="1" s="25"/>
    <row r="79" ht="15.75" customHeight="1" s="25"/>
    <row r="80" ht="15.75" customHeight="1" s="25"/>
    <row r="81" ht="15.75" customHeight="1" s="25"/>
    <row r="82" ht="15.75" customHeight="1" s="25"/>
    <row r="83" ht="15.75" customHeight="1" s="25"/>
    <row r="84" ht="15.75" customHeight="1" s="25"/>
    <row r="85" ht="15.75" customHeight="1" s="25"/>
    <row r="86" ht="15.75" customHeight="1" s="25"/>
    <row r="87" ht="15.75" customHeight="1" s="25"/>
    <row r="88" ht="15.75" customHeight="1" s="25"/>
    <row r="89" ht="15.75" customHeight="1" s="25"/>
    <row r="90" ht="15.75" customHeight="1" s="25"/>
    <row r="91" ht="15.75" customHeight="1" s="25"/>
    <row r="92" ht="15.75" customHeight="1" s="25"/>
    <row r="93" ht="15.75" customHeight="1" s="25"/>
    <row r="94" ht="15.75" customHeight="1" s="25"/>
    <row r="95" ht="15.75" customHeight="1" s="25"/>
    <row r="96" ht="15.75" customHeight="1" s="25"/>
    <row r="97" ht="15.75" customHeight="1" s="25"/>
    <row r="98" ht="15.75" customHeight="1" s="25"/>
    <row r="99" ht="15.75" customHeight="1" s="25"/>
    <row r="100" ht="15.75" customHeight="1" s="25"/>
    <row r="101" ht="15.75" customHeight="1" s="25"/>
    <row r="102" ht="15.75" customHeight="1" s="25"/>
    <row r="103" ht="15.75" customHeight="1" s="25"/>
    <row r="104" ht="15.75" customHeight="1" s="25"/>
    <row r="105" ht="15.75" customHeight="1" s="25"/>
    <row r="106" ht="15.75" customHeight="1" s="25"/>
    <row r="107" ht="15.75" customHeight="1" s="25"/>
    <row r="108" ht="15.75" customHeight="1" s="25"/>
    <row r="109" ht="15.75" customHeight="1" s="25"/>
    <row r="110" ht="15.75" customHeight="1" s="25"/>
    <row r="111" ht="15.75" customHeight="1" s="25"/>
    <row r="112" ht="15.75" customHeight="1" s="25"/>
    <row r="113" ht="15.75" customHeight="1" s="25"/>
    <row r="114" ht="15.75" customHeight="1" s="25"/>
    <row r="115" ht="15.75" customHeight="1" s="25"/>
    <row r="116" ht="15.75" customHeight="1" s="25"/>
    <row r="117" ht="15.75" customHeight="1" s="25"/>
    <row r="118" ht="15.75" customHeight="1" s="25"/>
    <row r="119" ht="15.75" customHeight="1" s="25"/>
    <row r="120" ht="15.75" customHeight="1" s="25"/>
    <row r="121" ht="15.75" customHeight="1" s="25"/>
    <row r="122" ht="15.75" customHeight="1" s="25"/>
    <row r="123" ht="15.75" customHeight="1" s="25"/>
    <row r="124" ht="15.75" customHeight="1" s="25"/>
    <row r="125" ht="15.75" customHeight="1" s="25"/>
    <row r="126" ht="15.75" customHeight="1" s="25"/>
    <row r="127" ht="15.75" customHeight="1" s="25"/>
    <row r="128" ht="15.75" customHeight="1" s="25"/>
    <row r="129" ht="15.75" customHeight="1" s="25"/>
    <row r="130" ht="15.75" customHeight="1" s="25"/>
    <row r="131" ht="15.75" customHeight="1" s="25"/>
    <row r="132" ht="15.75" customHeight="1" s="25"/>
    <row r="133" ht="15.75" customHeight="1" s="25"/>
    <row r="134" ht="15.75" customHeight="1" s="25"/>
    <row r="135" ht="15.75" customHeight="1" s="25"/>
    <row r="136" ht="15.75" customHeight="1" s="25"/>
    <row r="137" ht="15.75" customHeight="1" s="25"/>
    <row r="138" ht="15.75" customHeight="1" s="25"/>
    <row r="139" ht="15.75" customHeight="1" s="25"/>
    <row r="140" ht="15.75" customHeight="1" s="25"/>
    <row r="141" ht="15.75" customHeight="1" s="25"/>
    <row r="142" ht="15.75" customHeight="1" s="25"/>
    <row r="143" ht="15.75" customHeight="1" s="25"/>
    <row r="144" ht="15.75" customHeight="1" s="25"/>
    <row r="145" ht="15.75" customHeight="1" s="25"/>
    <row r="146" ht="15.75" customHeight="1" s="25"/>
    <row r="147" ht="15.75" customHeight="1" s="25"/>
    <row r="148" ht="15.75" customHeight="1" s="25"/>
    <row r="149" ht="15.75" customHeight="1" s="25"/>
    <row r="150" ht="15.75" customHeight="1" s="25"/>
    <row r="151" ht="15.75" customHeight="1" s="25"/>
    <row r="152" ht="15.75" customHeight="1" s="25"/>
    <row r="153" ht="15.75" customHeight="1" s="25"/>
    <row r="154" ht="15.75" customHeight="1" s="25"/>
    <row r="155" ht="15.75" customHeight="1" s="25"/>
    <row r="156" ht="15.75" customHeight="1" s="25"/>
    <row r="157" ht="15.75" customHeight="1" s="25"/>
    <row r="158" ht="15.75" customHeight="1" s="25"/>
    <row r="159" ht="15.75" customHeight="1" s="25"/>
    <row r="160" ht="15.75" customHeight="1" s="25"/>
    <row r="161" ht="15.75" customHeight="1" s="25"/>
    <row r="162" ht="15.75" customHeight="1" s="25"/>
    <row r="163" ht="15.75" customHeight="1" s="25"/>
    <row r="164" ht="15.75" customHeight="1" s="25"/>
    <row r="165" ht="15.75" customHeight="1" s="25"/>
    <row r="166" ht="15.75" customHeight="1" s="25"/>
    <row r="167" ht="15.75" customHeight="1" s="25"/>
    <row r="168" ht="15.75" customHeight="1" s="25"/>
    <row r="169" ht="15.75" customHeight="1" s="25"/>
    <row r="170" ht="15.75" customHeight="1" s="25"/>
    <row r="171" ht="15.75" customHeight="1" s="25"/>
    <row r="172" ht="15.75" customHeight="1" s="25"/>
    <row r="173" ht="15.75" customHeight="1" s="25"/>
    <row r="174" ht="15.75" customHeight="1" s="25"/>
    <row r="175" ht="15.75" customHeight="1" s="25"/>
    <row r="176" ht="15.75" customHeight="1" s="25"/>
    <row r="177" ht="15.75" customHeight="1" s="25"/>
    <row r="178" ht="15.75" customHeight="1" s="25"/>
    <row r="179" ht="15.75" customHeight="1" s="25"/>
    <row r="180" ht="15.75" customHeight="1" s="25"/>
    <row r="181" ht="15.75" customHeight="1" s="25"/>
    <row r="182" ht="15.75" customHeight="1" s="25"/>
    <row r="183" ht="15.75" customHeight="1" s="25"/>
    <row r="184" ht="15.75" customHeight="1" s="25"/>
    <row r="185" ht="15.75" customHeight="1" s="25"/>
    <row r="186" ht="15.75" customHeight="1" s="25"/>
    <row r="187" ht="15.75" customHeight="1" s="25"/>
    <row r="188" ht="15.75" customHeight="1" s="25"/>
    <row r="189" ht="15.75" customHeight="1" s="25"/>
    <row r="190" ht="15.75" customHeight="1" s="25"/>
    <row r="191" ht="15.75" customHeight="1" s="25"/>
    <row r="192" ht="15.75" customHeight="1" s="25"/>
    <row r="193" ht="15.75" customHeight="1" s="25"/>
    <row r="194" ht="15.75" customHeight="1" s="25"/>
    <row r="195" ht="15.75" customHeight="1" s="25"/>
    <row r="196" ht="15.75" customHeight="1" s="25"/>
    <row r="197" ht="15.75" customHeight="1" s="25"/>
    <row r="198" ht="15.75" customHeight="1" s="25"/>
    <row r="199" ht="15.75" customHeight="1" s="25"/>
    <row r="200" ht="15.75" customHeight="1" s="25"/>
    <row r="201" ht="15.75" customHeight="1" s="25"/>
    <row r="202" ht="15.75" customHeight="1" s="25"/>
    <row r="203" ht="15.75" customHeight="1" s="25"/>
    <row r="204" ht="15.75" customHeight="1" s="25"/>
    <row r="205" ht="15.75" customHeight="1" s="25"/>
    <row r="206" ht="15.75" customHeight="1" s="25"/>
    <row r="207" ht="15.75" customHeight="1" s="25"/>
    <row r="208" ht="15.75" customHeight="1" s="25"/>
    <row r="209" ht="15.75" customHeight="1" s="25"/>
    <row r="210" ht="15.75" customHeight="1" s="25"/>
    <row r="211" ht="15.75" customHeight="1" s="25"/>
    <row r="212" ht="15.75" customHeight="1" s="25"/>
    <row r="213" ht="15.75" customHeight="1" s="25"/>
    <row r="214" ht="15.75" customHeight="1" s="25"/>
    <row r="215" ht="15.75" customHeight="1" s="25"/>
    <row r="216" ht="15.75" customHeight="1" s="25"/>
    <row r="217" ht="15.75" customHeight="1" s="25"/>
    <row r="218" ht="15.75" customHeight="1" s="25"/>
    <row r="219" ht="15.75" customHeight="1" s="25"/>
    <row r="220" ht="15.75" customHeight="1" s="25"/>
    <row r="221" ht="15.75" customHeight="1" s="25"/>
    <row r="222" ht="15.75" customHeight="1" s="25"/>
    <row r="223" ht="15.75" customHeight="1" s="25"/>
    <row r="224" ht="15.75" customHeight="1" s="25"/>
    <row r="225" ht="15.75" customHeight="1" s="25"/>
    <row r="226" ht="15.75" customHeight="1" s="25"/>
    <row r="227" ht="15.75" customHeight="1" s="25"/>
    <row r="228" ht="15.75" customHeight="1" s="25"/>
    <row r="229" ht="15.75" customHeight="1" s="25"/>
    <row r="230" ht="15.75" customHeight="1" s="25"/>
    <row r="231" ht="15.75" customHeight="1" s="25"/>
    <row r="232" ht="15.75" customHeight="1" s="25"/>
    <row r="233" ht="15.75" customHeight="1" s="25"/>
    <row r="234" ht="15.75" customHeight="1" s="25"/>
    <row r="235" ht="15.75" customHeight="1" s="25"/>
    <row r="236" ht="15.75" customHeight="1" s="25"/>
    <row r="237" ht="15.75" customHeight="1" s="25"/>
    <row r="238" ht="15.75" customHeight="1" s="25"/>
    <row r="239" ht="15.75" customHeight="1" s="25"/>
    <row r="240" ht="15.75" customHeight="1" s="25"/>
    <row r="241" ht="15.75" customHeight="1" s="25"/>
    <row r="242" ht="15.75" customHeight="1" s="25"/>
    <row r="243" ht="15.75" customHeight="1" s="25"/>
    <row r="244" ht="15.75" customHeight="1" s="25"/>
    <row r="245" ht="15.75" customHeight="1" s="25"/>
    <row r="246" ht="15.75" customHeight="1" s="25"/>
    <row r="247" ht="15.75" customHeight="1" s="25"/>
    <row r="248" ht="15.75" customHeight="1" s="25"/>
    <row r="249" ht="15.75" customHeight="1" s="25"/>
    <row r="250" ht="15.75" customHeight="1" s="25"/>
    <row r="251" ht="15.75" customHeight="1" s="25"/>
    <row r="252" ht="15.75" customHeight="1" s="25"/>
    <row r="253" ht="15.75" customHeight="1" s="25"/>
    <row r="254" ht="15.75" customHeight="1" s="25"/>
    <row r="255" ht="15.75" customHeight="1" s="25"/>
    <row r="256" ht="15.75" customHeight="1" s="25"/>
    <row r="257" ht="15.75" customHeight="1" s="25"/>
    <row r="258" ht="15.75" customHeight="1" s="25"/>
    <row r="259" ht="15.75" customHeight="1" s="25"/>
    <row r="260" ht="15.75" customHeight="1" s="25"/>
    <row r="261" ht="15.75" customHeight="1" s="25"/>
    <row r="262" ht="15.75" customHeight="1" s="25"/>
    <row r="263" ht="15.75" customHeight="1" s="25"/>
    <row r="264" ht="15.75" customHeight="1" s="25"/>
    <row r="265" ht="15.75" customHeight="1" s="25"/>
    <row r="266" ht="15.75" customHeight="1" s="25"/>
    <row r="267" ht="15.75" customHeight="1" s="25"/>
    <row r="268" ht="15.75" customHeight="1" s="25"/>
    <row r="269" ht="15.75" customHeight="1" s="25"/>
    <row r="270" ht="15.75" customHeight="1" s="25"/>
    <row r="271" ht="15.75" customHeight="1" s="25"/>
    <row r="272" ht="15.75" customHeight="1" s="25"/>
    <row r="273" ht="15.75" customHeight="1" s="25"/>
    <row r="274" ht="15.75" customHeight="1" s="25"/>
    <row r="275" ht="15.75" customHeight="1" s="25"/>
    <row r="276" ht="15.75" customHeight="1" s="25"/>
    <row r="277" ht="15.75" customHeight="1" s="25"/>
    <row r="278" ht="15.75" customHeight="1" s="25"/>
    <row r="279" ht="15.75" customHeight="1" s="25"/>
    <row r="280" ht="15.75" customHeight="1" s="25"/>
    <row r="281" ht="15.75" customHeight="1" s="25"/>
    <row r="282" ht="15.75" customHeight="1" s="25"/>
    <row r="283" ht="15.75" customHeight="1" s="25"/>
    <row r="284" ht="15.75" customHeight="1" s="25"/>
    <row r="285" ht="15.75" customHeight="1" s="25"/>
    <row r="286" ht="15.75" customHeight="1" s="25"/>
    <row r="287" ht="15.75" customHeight="1" s="25"/>
    <row r="288" ht="15.75" customHeight="1" s="25"/>
    <row r="289" ht="15.75" customHeight="1" s="25"/>
    <row r="290" ht="15.75" customHeight="1" s="25"/>
    <row r="291" ht="15.75" customHeight="1" s="25"/>
    <row r="292" ht="15.75" customHeight="1" s="25"/>
    <row r="293" ht="15.75" customHeight="1" s="25"/>
    <row r="294" ht="15.75" customHeight="1" s="25"/>
    <row r="295" ht="15.75" customHeight="1" s="25"/>
    <row r="296" ht="15.75" customHeight="1" s="25"/>
    <row r="297" ht="15.75" customHeight="1" s="25"/>
    <row r="298" ht="15.75" customHeight="1" s="25"/>
    <row r="299" ht="15.75" customHeight="1" s="25"/>
    <row r="300" ht="15.75" customHeight="1" s="25"/>
    <row r="301" ht="15.75" customHeight="1" s="25"/>
    <row r="302" ht="15.75" customHeight="1" s="25"/>
    <row r="303" ht="15.75" customHeight="1" s="25"/>
    <row r="304" ht="15.75" customHeight="1" s="25"/>
    <row r="305" ht="15.75" customHeight="1" s="25"/>
    <row r="306" ht="15.75" customHeight="1" s="25"/>
    <row r="307" ht="15.75" customHeight="1" s="25"/>
    <row r="308" ht="15.75" customHeight="1" s="25"/>
    <row r="309" ht="15.75" customHeight="1" s="25"/>
    <row r="310" ht="15.75" customHeight="1" s="25"/>
    <row r="311" ht="15.75" customHeight="1" s="25"/>
    <row r="312" ht="15.75" customHeight="1" s="25"/>
    <row r="313" ht="15.75" customHeight="1" s="25"/>
    <row r="314" ht="15.75" customHeight="1" s="25"/>
    <row r="315" ht="15.75" customHeight="1" s="25"/>
    <row r="316" ht="15.75" customHeight="1" s="25"/>
    <row r="317" ht="15.75" customHeight="1" s="25"/>
    <row r="318" ht="15.75" customHeight="1" s="25"/>
    <row r="319" ht="15.75" customHeight="1" s="25"/>
    <row r="320" ht="15.75" customHeight="1" s="25"/>
    <row r="321" ht="15.75" customHeight="1" s="25"/>
    <row r="322" ht="15.75" customHeight="1" s="25"/>
    <row r="323" ht="15.75" customHeight="1" s="25"/>
    <row r="324" ht="15.75" customHeight="1" s="25"/>
    <row r="325" ht="15.75" customHeight="1" s="25"/>
    <row r="326" ht="15.75" customHeight="1" s="25"/>
    <row r="327" ht="15.75" customHeight="1" s="25"/>
    <row r="328" ht="15.75" customHeight="1" s="25"/>
    <row r="329" ht="15.75" customHeight="1" s="25"/>
    <row r="330" ht="15.75" customHeight="1" s="25"/>
    <row r="331" ht="15.75" customHeight="1" s="25"/>
    <row r="332" ht="15.75" customHeight="1" s="25"/>
    <row r="333" ht="15.75" customHeight="1" s="25"/>
    <row r="334" ht="15.75" customHeight="1" s="25"/>
    <row r="335" ht="15.75" customHeight="1" s="25"/>
    <row r="336" ht="15.75" customHeight="1" s="25"/>
    <row r="337" ht="15.75" customHeight="1" s="25"/>
    <row r="338" ht="15.75" customHeight="1" s="25"/>
    <row r="339" ht="15.75" customHeight="1" s="25"/>
    <row r="340" ht="15.75" customHeight="1" s="25"/>
    <row r="341" ht="15.75" customHeight="1" s="25"/>
    <row r="342" ht="15.75" customHeight="1" s="25"/>
    <row r="343" ht="15.75" customHeight="1" s="25"/>
    <row r="344" ht="15.75" customHeight="1" s="25"/>
    <row r="345" ht="15.75" customHeight="1" s="25"/>
    <row r="346" ht="15.75" customHeight="1" s="25"/>
    <row r="347" ht="15.75" customHeight="1" s="25"/>
    <row r="348" ht="15.75" customHeight="1" s="25"/>
    <row r="349" ht="15.75" customHeight="1" s="25"/>
    <row r="350" ht="15.75" customHeight="1" s="25"/>
    <row r="351" ht="15.75" customHeight="1" s="25"/>
    <row r="352" ht="15.75" customHeight="1" s="25"/>
    <row r="353" ht="15.75" customHeight="1" s="25"/>
    <row r="354" ht="15.75" customHeight="1" s="25"/>
    <row r="355" ht="15.75" customHeight="1" s="25"/>
    <row r="356" ht="15.75" customHeight="1" s="25"/>
    <row r="357" ht="15.75" customHeight="1" s="25"/>
    <row r="358" ht="15.75" customHeight="1" s="25"/>
    <row r="359" ht="15.75" customHeight="1" s="25"/>
    <row r="360" ht="15.75" customHeight="1" s="25"/>
    <row r="361" ht="15.75" customHeight="1" s="25"/>
    <row r="362" ht="15.75" customHeight="1" s="25"/>
    <row r="363" ht="15.75" customHeight="1" s="25"/>
    <row r="364" ht="15.75" customHeight="1" s="25"/>
    <row r="365" ht="15.75" customHeight="1" s="25"/>
    <row r="366" ht="15.75" customHeight="1" s="25"/>
    <row r="367" ht="15.75" customHeight="1" s="25"/>
    <row r="368" ht="15.75" customHeight="1" s="25"/>
    <row r="369" ht="15.75" customHeight="1" s="25"/>
    <row r="370" ht="15.75" customHeight="1" s="25"/>
    <row r="371" ht="15.75" customHeight="1" s="25"/>
    <row r="372" ht="15.75" customHeight="1" s="25"/>
    <row r="373" ht="15.75" customHeight="1" s="25"/>
    <row r="374" ht="15.75" customHeight="1" s="25"/>
    <row r="375" ht="15.75" customHeight="1" s="25"/>
    <row r="376" ht="15.75" customHeight="1" s="25"/>
    <row r="377" ht="15.75" customHeight="1" s="25"/>
    <row r="378" ht="15.75" customHeight="1" s="25"/>
    <row r="379" ht="15.75" customHeight="1" s="25"/>
    <row r="380" ht="15.75" customHeight="1" s="25"/>
    <row r="381" ht="15.75" customHeight="1" s="25"/>
    <row r="382" ht="15.75" customHeight="1" s="25"/>
    <row r="383" ht="15.75" customHeight="1" s="25"/>
    <row r="384" ht="15.75" customHeight="1" s="25"/>
    <row r="385" ht="15.75" customHeight="1" s="25"/>
    <row r="386" ht="15.75" customHeight="1" s="25"/>
    <row r="387" ht="15.75" customHeight="1" s="25"/>
    <row r="388" ht="15.75" customHeight="1" s="25"/>
    <row r="389" ht="15.75" customHeight="1" s="25"/>
    <row r="390" ht="15.75" customHeight="1" s="25"/>
    <row r="391" ht="15.75" customHeight="1" s="25"/>
    <row r="392" ht="15.75" customHeight="1" s="25"/>
    <row r="393" ht="15.75" customHeight="1" s="25"/>
    <row r="394" ht="15.75" customHeight="1" s="25"/>
    <row r="395" ht="15.75" customHeight="1" s="25"/>
    <row r="396" ht="15.75" customHeight="1" s="25"/>
    <row r="397" ht="15.75" customHeight="1" s="25"/>
    <row r="398" ht="15.75" customHeight="1" s="25"/>
    <row r="399" ht="15.75" customHeight="1" s="25"/>
    <row r="400" ht="15.75" customHeight="1" s="25"/>
    <row r="401" ht="15.75" customHeight="1" s="25"/>
    <row r="402" ht="15.75" customHeight="1" s="25"/>
    <row r="403" ht="15.75" customHeight="1" s="25"/>
    <row r="404" ht="15.75" customHeight="1" s="25"/>
    <row r="405" ht="15.75" customHeight="1" s="25"/>
    <row r="406" ht="15.75" customHeight="1" s="25"/>
    <row r="407" ht="15.75" customHeight="1" s="25"/>
    <row r="408" ht="15.75" customHeight="1" s="25"/>
    <row r="409" ht="15.75" customHeight="1" s="25"/>
    <row r="410" ht="15.75" customHeight="1" s="25"/>
    <row r="411" ht="15.75" customHeight="1" s="25"/>
    <row r="412" ht="15.75" customHeight="1" s="25"/>
    <row r="413" ht="15.75" customHeight="1" s="25"/>
    <row r="414" ht="15.75" customHeight="1" s="25"/>
    <row r="415" ht="15.75" customHeight="1" s="25"/>
    <row r="416" ht="15.75" customHeight="1" s="25"/>
    <row r="417" ht="15.75" customHeight="1" s="25"/>
    <row r="418" ht="15.75" customHeight="1" s="25"/>
    <row r="419" ht="15.75" customHeight="1" s="25"/>
    <row r="420" ht="15.75" customHeight="1" s="25"/>
    <row r="421" ht="15.75" customHeight="1" s="25"/>
    <row r="422" ht="15.75" customHeight="1" s="25"/>
    <row r="423" ht="15.75" customHeight="1" s="25"/>
    <row r="424" ht="15.75" customHeight="1" s="25"/>
    <row r="425" ht="15.75" customHeight="1" s="25"/>
    <row r="426" ht="15.75" customHeight="1" s="25"/>
    <row r="427" ht="15.75" customHeight="1" s="25"/>
    <row r="428" ht="15.75" customHeight="1" s="25"/>
    <row r="429" ht="15.75" customHeight="1" s="25"/>
    <row r="430" ht="15.75" customHeight="1" s="25"/>
    <row r="431" ht="15.75" customHeight="1" s="25"/>
    <row r="432" ht="15.75" customHeight="1" s="25"/>
    <row r="433" ht="15.75" customHeight="1" s="25"/>
    <row r="434" ht="15.75" customHeight="1" s="25"/>
    <row r="435" ht="15.75" customHeight="1" s="25"/>
    <row r="436" ht="15.75" customHeight="1" s="25"/>
    <row r="437" ht="15.75" customHeight="1" s="25"/>
    <row r="438" ht="15.75" customHeight="1" s="25"/>
    <row r="439" ht="15.75" customHeight="1" s="25"/>
    <row r="440" ht="15.75" customHeight="1" s="25"/>
    <row r="441" ht="15.75" customHeight="1" s="25"/>
    <row r="442" ht="15.75" customHeight="1" s="25"/>
    <row r="443" ht="15.75" customHeight="1" s="25"/>
    <row r="444" ht="15.75" customHeight="1" s="25"/>
    <row r="445" ht="15.75" customHeight="1" s="25"/>
    <row r="446" ht="15.75" customHeight="1" s="25"/>
    <row r="447" ht="15.75" customHeight="1" s="25"/>
    <row r="448" ht="15.75" customHeight="1" s="25"/>
    <row r="449" ht="15.75" customHeight="1" s="25"/>
    <row r="450" ht="15.75" customHeight="1" s="25"/>
    <row r="451" ht="15.75" customHeight="1" s="25"/>
    <row r="452" ht="15.75" customHeight="1" s="25"/>
    <row r="453" ht="15.75" customHeight="1" s="25"/>
    <row r="454" ht="15.75" customHeight="1" s="25"/>
    <row r="455" ht="15.75" customHeight="1" s="25"/>
    <row r="456" ht="15.75" customHeight="1" s="25"/>
    <row r="457" ht="15.75" customHeight="1" s="25"/>
    <row r="458" ht="15.75" customHeight="1" s="25"/>
    <row r="459" ht="15.75" customHeight="1" s="25"/>
    <row r="460" ht="15.75" customHeight="1" s="25"/>
    <row r="461" ht="15.75" customHeight="1" s="25"/>
    <row r="462" ht="15.75" customHeight="1" s="25"/>
    <row r="463" ht="15.75" customHeight="1" s="25"/>
    <row r="464" ht="15.75" customHeight="1" s="25"/>
    <row r="465" ht="15.75" customHeight="1" s="25"/>
    <row r="466" ht="15.75" customHeight="1" s="25"/>
    <row r="467" ht="15.75" customHeight="1" s="25"/>
    <row r="468" ht="15.75" customHeight="1" s="25"/>
    <row r="469" ht="15.75" customHeight="1" s="25"/>
    <row r="470" ht="15.75" customHeight="1" s="25"/>
    <row r="471" ht="15.75" customHeight="1" s="25"/>
    <row r="472" ht="15.75" customHeight="1" s="25"/>
    <row r="473" ht="15.75" customHeight="1" s="25"/>
    <row r="474" ht="15.75" customHeight="1" s="25"/>
    <row r="475" ht="15.75" customHeight="1" s="25"/>
    <row r="476" ht="15.75" customHeight="1" s="25"/>
    <row r="477" ht="15.75" customHeight="1" s="25"/>
    <row r="478" ht="15.75" customHeight="1" s="25"/>
    <row r="479" ht="15.75" customHeight="1" s="25"/>
    <row r="480" ht="15.75" customHeight="1" s="25"/>
    <row r="481" ht="15.75" customHeight="1" s="25"/>
    <row r="482" ht="15.75" customHeight="1" s="25"/>
    <row r="483" ht="15.75" customHeight="1" s="25"/>
    <row r="484" ht="15.75" customHeight="1" s="25"/>
    <row r="485" ht="15.75" customHeight="1" s="25"/>
    <row r="486" ht="15.75" customHeight="1" s="25"/>
    <row r="487" ht="15.75" customHeight="1" s="25"/>
    <row r="488" ht="15.75" customHeight="1" s="25"/>
    <row r="489" ht="15.75" customHeight="1" s="25"/>
    <row r="490" ht="15.75" customHeight="1" s="25"/>
    <row r="491" ht="15.75" customHeight="1" s="25"/>
    <row r="492" ht="15.75" customHeight="1" s="25"/>
    <row r="493" ht="15.75" customHeight="1" s="25"/>
    <row r="494" ht="15.75" customHeight="1" s="25"/>
    <row r="495" ht="15.75" customHeight="1" s="25"/>
    <row r="496" ht="15.75" customHeight="1" s="25"/>
    <row r="497" ht="15.75" customHeight="1" s="25"/>
    <row r="498" ht="15.75" customHeight="1" s="25"/>
    <row r="499" ht="15.75" customHeight="1" s="25"/>
    <row r="500" ht="15.75" customHeight="1" s="25"/>
    <row r="501" ht="15.75" customHeight="1" s="25"/>
    <row r="502" ht="15.75" customHeight="1" s="25"/>
    <row r="503" ht="15.75" customHeight="1" s="25"/>
    <row r="504" ht="15.75" customHeight="1" s="25"/>
    <row r="505" ht="15.75" customHeight="1" s="25"/>
    <row r="506" ht="15.75" customHeight="1" s="25"/>
    <row r="507" ht="15.75" customHeight="1" s="25"/>
    <row r="508" ht="15.75" customHeight="1" s="25"/>
    <row r="509" ht="15.75" customHeight="1" s="25"/>
    <row r="510" ht="15.75" customHeight="1" s="25"/>
    <row r="511" ht="15.75" customHeight="1" s="25"/>
    <row r="512" ht="15.75" customHeight="1" s="25"/>
    <row r="513" ht="15.75" customHeight="1" s="25"/>
    <row r="514" ht="15.75" customHeight="1" s="25"/>
    <row r="515" ht="15.75" customHeight="1" s="25"/>
    <row r="516" ht="15.75" customHeight="1" s="25"/>
    <row r="517" ht="15.75" customHeight="1" s="25"/>
    <row r="518" ht="15.75" customHeight="1" s="25"/>
    <row r="519" ht="15.75" customHeight="1" s="25"/>
    <row r="520" ht="15.75" customHeight="1" s="25"/>
    <row r="521" ht="15.75" customHeight="1" s="25"/>
    <row r="522" ht="15.75" customHeight="1" s="25"/>
    <row r="523" ht="15.75" customHeight="1" s="25"/>
    <row r="524" ht="15.75" customHeight="1" s="25"/>
    <row r="525" ht="15.75" customHeight="1" s="25"/>
    <row r="526" ht="15.75" customHeight="1" s="25"/>
    <row r="527" ht="15.75" customHeight="1" s="25"/>
    <row r="528" ht="15.75" customHeight="1" s="25"/>
    <row r="529" ht="15.75" customHeight="1" s="25"/>
    <row r="530" ht="15.75" customHeight="1" s="25"/>
    <row r="531" ht="15.75" customHeight="1" s="25"/>
    <row r="532" ht="15.75" customHeight="1" s="25"/>
    <row r="533" ht="15.75" customHeight="1" s="25"/>
    <row r="534" ht="15.75" customHeight="1" s="25"/>
    <row r="535" ht="15.75" customHeight="1" s="25"/>
    <row r="536" ht="15.75" customHeight="1" s="25"/>
    <row r="537" ht="15.75" customHeight="1" s="25"/>
    <row r="538" ht="15.75" customHeight="1" s="25"/>
    <row r="539" ht="15.75" customHeight="1" s="25"/>
    <row r="540" ht="15.75" customHeight="1" s="25"/>
    <row r="541" ht="15.75" customHeight="1" s="25"/>
    <row r="542" ht="15.75" customHeight="1" s="25"/>
    <row r="543" ht="15.75" customHeight="1" s="25"/>
    <row r="544" ht="15.75" customHeight="1" s="25"/>
    <row r="545" ht="15.75" customHeight="1" s="25"/>
    <row r="546" ht="15.75" customHeight="1" s="25"/>
    <row r="547" ht="15.75" customHeight="1" s="25"/>
    <row r="548" ht="15.75" customHeight="1" s="25"/>
    <row r="549" ht="15.75" customHeight="1" s="25"/>
    <row r="550" ht="15.75" customHeight="1" s="25"/>
    <row r="551" ht="15.75" customHeight="1" s="25"/>
    <row r="552" ht="15.75" customHeight="1" s="25"/>
    <row r="553" ht="15.75" customHeight="1" s="25"/>
    <row r="554" ht="15.75" customHeight="1" s="25"/>
    <row r="555" ht="15.75" customHeight="1" s="25"/>
    <row r="556" ht="15.75" customHeight="1" s="25"/>
    <row r="557" ht="15.75" customHeight="1" s="25"/>
    <row r="558" ht="15.75" customHeight="1" s="25"/>
    <row r="559" ht="15.75" customHeight="1" s="25"/>
    <row r="560" ht="15.75" customHeight="1" s="25"/>
    <row r="561" ht="15.75" customHeight="1" s="25"/>
    <row r="562" ht="15.75" customHeight="1" s="25"/>
    <row r="563" ht="15.75" customHeight="1" s="25"/>
    <row r="564" ht="15.75" customHeight="1" s="25"/>
    <row r="565" ht="15.75" customHeight="1" s="25"/>
    <row r="566" ht="15.75" customHeight="1" s="25"/>
    <row r="567" ht="15.75" customHeight="1" s="25"/>
    <row r="568" ht="15.75" customHeight="1" s="25"/>
    <row r="569" ht="15.75" customHeight="1" s="25"/>
    <row r="570" ht="15.75" customHeight="1" s="25"/>
    <row r="571" ht="15.75" customHeight="1" s="25"/>
    <row r="572" ht="15.75" customHeight="1" s="25"/>
    <row r="573" ht="15.75" customHeight="1" s="25"/>
    <row r="574" ht="15.75" customHeight="1" s="25"/>
    <row r="575" ht="15.75" customHeight="1" s="25"/>
    <row r="576" ht="15.75" customHeight="1" s="25"/>
    <row r="577" ht="15.75" customHeight="1" s="25"/>
    <row r="578" ht="15.75" customHeight="1" s="25"/>
    <row r="579" ht="15.75" customHeight="1" s="25"/>
    <row r="580" ht="15.75" customHeight="1" s="25"/>
    <row r="581" ht="15.75" customHeight="1" s="25"/>
    <row r="582" ht="15.75" customHeight="1" s="25"/>
    <row r="583" ht="15.75" customHeight="1" s="25"/>
    <row r="584" ht="15.75" customHeight="1" s="25"/>
    <row r="585" ht="15.75" customHeight="1" s="25"/>
    <row r="586" ht="15.75" customHeight="1" s="25"/>
    <row r="587" ht="15.75" customHeight="1" s="25"/>
    <row r="588" ht="15.75" customHeight="1" s="25"/>
    <row r="589" ht="15.75" customHeight="1" s="25"/>
    <row r="590" ht="15.75" customHeight="1" s="25"/>
    <row r="591" ht="15.75" customHeight="1" s="25"/>
    <row r="592" ht="15.75" customHeight="1" s="25"/>
    <row r="593" ht="15.75" customHeight="1" s="25"/>
    <row r="594" ht="15.75" customHeight="1" s="25"/>
    <row r="595" ht="15.75" customHeight="1" s="25"/>
    <row r="596" ht="15.75" customHeight="1" s="25"/>
    <row r="597" ht="15.75" customHeight="1" s="25"/>
    <row r="598" ht="15.75" customHeight="1" s="25"/>
    <row r="599" ht="15.75" customHeight="1" s="25"/>
    <row r="600" ht="15.75" customHeight="1" s="25"/>
    <row r="601" ht="15.75" customHeight="1" s="25"/>
    <row r="602" ht="15.75" customHeight="1" s="25"/>
    <row r="603" ht="15.75" customHeight="1" s="25"/>
    <row r="604" ht="15.75" customHeight="1" s="25"/>
    <row r="605" ht="15.75" customHeight="1" s="25"/>
    <row r="606" ht="15.75" customHeight="1" s="25"/>
    <row r="607" ht="15.75" customHeight="1" s="25"/>
    <row r="608" ht="15.75" customHeight="1" s="25"/>
    <row r="609" ht="15.75" customHeight="1" s="25"/>
    <row r="610" ht="15.75" customHeight="1" s="25"/>
    <row r="611" ht="15.75" customHeight="1" s="25"/>
    <row r="612" ht="15.75" customHeight="1" s="25"/>
    <row r="613" ht="15.75" customHeight="1" s="25"/>
    <row r="614" ht="15.75" customHeight="1" s="25"/>
    <row r="615" ht="15.75" customHeight="1" s="25"/>
    <row r="616" ht="15.75" customHeight="1" s="25"/>
    <row r="617" ht="15.75" customHeight="1" s="25"/>
    <row r="618" ht="15.75" customHeight="1" s="25"/>
    <row r="619" ht="15.75" customHeight="1" s="25"/>
    <row r="620" ht="15.75" customHeight="1" s="25"/>
    <row r="621" ht="15.75" customHeight="1" s="25"/>
    <row r="622" ht="15.75" customHeight="1" s="25"/>
    <row r="623" ht="15.75" customHeight="1" s="25"/>
    <row r="624" ht="15.75" customHeight="1" s="25"/>
    <row r="625" ht="15.75" customHeight="1" s="25"/>
    <row r="626" ht="15.75" customHeight="1" s="25"/>
    <row r="627" ht="15.75" customHeight="1" s="25"/>
    <row r="628" ht="15.75" customHeight="1" s="25"/>
    <row r="629" ht="15.75" customHeight="1" s="25"/>
    <row r="630" ht="15.75" customHeight="1" s="25"/>
    <row r="631" ht="15.75" customHeight="1" s="25"/>
    <row r="632" ht="15.75" customHeight="1" s="25"/>
    <row r="633" ht="15.75" customHeight="1" s="25"/>
    <row r="634" ht="15.75" customHeight="1" s="25"/>
    <row r="635" ht="15.75" customHeight="1" s="25"/>
    <row r="636" ht="15.75" customHeight="1" s="25"/>
    <row r="637" ht="15.75" customHeight="1" s="25"/>
    <row r="638" ht="15.75" customHeight="1" s="25"/>
    <row r="639" ht="15.75" customHeight="1" s="25"/>
    <row r="640" ht="15.75" customHeight="1" s="25"/>
    <row r="641" ht="15.75" customHeight="1" s="25"/>
    <row r="642" ht="15.75" customHeight="1" s="25"/>
    <row r="643" ht="15.75" customHeight="1" s="25"/>
    <row r="644" ht="15.75" customHeight="1" s="25"/>
    <row r="645" ht="15.75" customHeight="1" s="25"/>
    <row r="646" ht="15.75" customHeight="1" s="25"/>
    <row r="647" ht="15.75" customHeight="1" s="25"/>
    <row r="648" ht="15.75" customHeight="1" s="25"/>
    <row r="649" ht="15.75" customHeight="1" s="25"/>
    <row r="650" ht="15.75" customHeight="1" s="25"/>
    <row r="651" ht="15.75" customHeight="1" s="25"/>
    <row r="652" ht="15.75" customHeight="1" s="25"/>
    <row r="653" ht="15.75" customHeight="1" s="25"/>
    <row r="654" ht="15.75" customHeight="1" s="25"/>
    <row r="655" ht="15.75" customHeight="1" s="25"/>
    <row r="656" ht="15.75" customHeight="1" s="25"/>
    <row r="657" ht="15.75" customHeight="1" s="25"/>
    <row r="658" ht="15.75" customHeight="1" s="25"/>
    <row r="659" ht="15.75" customHeight="1" s="25"/>
    <row r="660" ht="15.75" customHeight="1" s="25"/>
    <row r="661" ht="15.75" customHeight="1" s="25"/>
    <row r="662" ht="15.75" customHeight="1" s="25"/>
    <row r="663" ht="15.75" customHeight="1" s="25"/>
    <row r="664" ht="15.75" customHeight="1" s="25"/>
    <row r="665" ht="15.75" customHeight="1" s="25"/>
    <row r="666" ht="15.75" customHeight="1" s="25"/>
    <row r="667" ht="15.75" customHeight="1" s="25"/>
    <row r="668" ht="15.75" customHeight="1" s="25"/>
    <row r="669" ht="15.75" customHeight="1" s="25"/>
    <row r="670" ht="15.75" customHeight="1" s="25"/>
    <row r="671" ht="15.75" customHeight="1" s="25"/>
    <row r="672" ht="15.75" customHeight="1" s="25"/>
    <row r="673" ht="15.75" customHeight="1" s="25"/>
    <row r="674" ht="15.75" customHeight="1" s="25"/>
    <row r="675" ht="15.75" customHeight="1" s="25"/>
    <row r="676" ht="15.75" customHeight="1" s="25"/>
    <row r="677" ht="15.75" customHeight="1" s="25"/>
    <row r="678" ht="15.75" customHeight="1" s="25"/>
    <row r="679" ht="15.75" customHeight="1" s="25"/>
    <row r="680" ht="15.75" customHeight="1" s="25"/>
    <row r="681" ht="15.75" customHeight="1" s="25"/>
    <row r="682" ht="15.75" customHeight="1" s="25"/>
    <row r="683" ht="15.75" customHeight="1" s="25"/>
    <row r="684" ht="15.75" customHeight="1" s="25"/>
    <row r="685" ht="15.75" customHeight="1" s="25"/>
    <row r="686" ht="15.75" customHeight="1" s="25"/>
    <row r="687" ht="15.75" customHeight="1" s="25"/>
    <row r="688" ht="15.75" customHeight="1" s="25"/>
    <row r="689" ht="15.75" customHeight="1" s="25"/>
    <row r="690" ht="15.75" customHeight="1" s="25"/>
    <row r="691" ht="15.75" customHeight="1" s="25"/>
    <row r="692" ht="15.75" customHeight="1" s="25"/>
    <row r="693" ht="15.75" customHeight="1" s="25"/>
    <row r="694" ht="15.75" customHeight="1" s="25"/>
    <row r="695" ht="15.75" customHeight="1" s="25"/>
    <row r="696" ht="15.75" customHeight="1" s="25"/>
    <row r="697" ht="15.75" customHeight="1" s="25"/>
    <row r="698" ht="15.75" customHeight="1" s="25"/>
    <row r="699" ht="15.75" customHeight="1" s="25"/>
    <row r="700" ht="15.75" customHeight="1" s="25"/>
    <row r="701" ht="15.75" customHeight="1" s="25"/>
    <row r="702" ht="15.75" customHeight="1" s="25"/>
    <row r="703" ht="15.75" customHeight="1" s="25"/>
    <row r="704" ht="15.75" customHeight="1" s="25"/>
    <row r="705" ht="15.75" customHeight="1" s="25"/>
    <row r="706" ht="15.75" customHeight="1" s="25"/>
    <row r="707" ht="15.75" customHeight="1" s="25"/>
    <row r="708" ht="15.75" customHeight="1" s="25"/>
    <row r="709" ht="15.75" customHeight="1" s="25"/>
    <row r="710" ht="15.75" customHeight="1" s="25"/>
    <row r="711" ht="15.75" customHeight="1" s="25"/>
    <row r="712" ht="15.75" customHeight="1" s="25"/>
    <row r="713" ht="15.75" customHeight="1" s="25"/>
    <row r="714" ht="15.75" customHeight="1" s="25"/>
    <row r="715" ht="15.75" customHeight="1" s="25"/>
    <row r="716" ht="15.75" customHeight="1" s="25"/>
    <row r="717" ht="15.75" customHeight="1" s="25"/>
    <row r="718" ht="15.75" customHeight="1" s="25"/>
    <row r="719" ht="15.75" customHeight="1" s="25"/>
    <row r="720" ht="15.75" customHeight="1" s="25"/>
    <row r="721" ht="15.75" customHeight="1" s="25"/>
    <row r="722" ht="15.75" customHeight="1" s="25"/>
    <row r="723" ht="15.75" customHeight="1" s="25"/>
    <row r="724" ht="15.75" customHeight="1" s="25"/>
    <row r="725" ht="15.75" customHeight="1" s="25"/>
    <row r="726" ht="15.75" customHeight="1" s="25"/>
    <row r="727" ht="15.75" customHeight="1" s="25"/>
    <row r="728" ht="15.75" customHeight="1" s="25"/>
    <row r="729" ht="15.75" customHeight="1" s="25"/>
    <row r="730" ht="15.75" customHeight="1" s="25"/>
    <row r="731" ht="15.75" customHeight="1" s="25"/>
    <row r="732" ht="15.75" customHeight="1" s="25"/>
    <row r="733" ht="15.75" customHeight="1" s="25"/>
    <row r="734" ht="15.75" customHeight="1" s="25"/>
    <row r="735" ht="15.75" customHeight="1" s="25"/>
    <row r="736" ht="15.75" customHeight="1" s="25"/>
    <row r="737" ht="15.75" customHeight="1" s="25"/>
    <row r="738" ht="15.75" customHeight="1" s="25"/>
    <row r="739" ht="15.75" customHeight="1" s="25"/>
    <row r="740" ht="15.75" customHeight="1" s="25"/>
    <row r="741" ht="15.75" customHeight="1" s="25"/>
    <row r="742" ht="15.75" customHeight="1" s="25"/>
    <row r="743" ht="15.75" customHeight="1" s="25"/>
    <row r="744" ht="15.75" customHeight="1" s="25"/>
    <row r="745" ht="15.75" customHeight="1" s="25"/>
    <row r="746" ht="15.75" customHeight="1" s="25"/>
    <row r="747" ht="15.75" customHeight="1" s="25"/>
    <row r="748" ht="15.75" customHeight="1" s="25"/>
    <row r="749" ht="15.75" customHeight="1" s="25"/>
    <row r="750" ht="15.75" customHeight="1" s="25"/>
    <row r="751" ht="15.75" customHeight="1" s="25"/>
    <row r="752" ht="15.75" customHeight="1" s="25"/>
    <row r="753" ht="15.75" customHeight="1" s="25"/>
    <row r="754" ht="15.75" customHeight="1" s="25"/>
    <row r="755" ht="15.75" customHeight="1" s="25"/>
    <row r="756" ht="15.75" customHeight="1" s="25"/>
    <row r="757" ht="15.75" customHeight="1" s="25"/>
    <row r="758" ht="15.75" customHeight="1" s="25"/>
    <row r="759" ht="15.75" customHeight="1" s="25"/>
    <row r="760" ht="15.75" customHeight="1" s="25"/>
    <row r="761" ht="15.75" customHeight="1" s="25"/>
    <row r="762" ht="15.75" customHeight="1" s="25"/>
    <row r="763" ht="15.75" customHeight="1" s="25"/>
    <row r="764" ht="15.75" customHeight="1" s="25"/>
    <row r="765" ht="15.75" customHeight="1" s="25"/>
    <row r="766" ht="15.75" customHeight="1" s="25"/>
    <row r="767" ht="15.75" customHeight="1" s="25"/>
    <row r="768" ht="15.75" customHeight="1" s="25"/>
    <row r="769" ht="15.75" customHeight="1" s="25"/>
    <row r="770" ht="15.75" customHeight="1" s="25"/>
    <row r="771" ht="15.75" customHeight="1" s="25"/>
    <row r="772" ht="15.75" customHeight="1" s="25"/>
    <row r="773" ht="15.75" customHeight="1" s="25"/>
    <row r="774" ht="15.75" customHeight="1" s="25"/>
    <row r="775" ht="15.75" customHeight="1" s="25"/>
    <row r="776" ht="15.75" customHeight="1" s="25"/>
    <row r="777" ht="15.75" customHeight="1" s="25"/>
    <row r="778" ht="15.75" customHeight="1" s="25"/>
    <row r="779" ht="15.75" customHeight="1" s="25"/>
    <row r="780" ht="15.75" customHeight="1" s="25"/>
    <row r="781" ht="15.75" customHeight="1" s="25"/>
    <row r="782" ht="15.75" customHeight="1" s="25"/>
    <row r="783" ht="15.75" customHeight="1" s="25"/>
    <row r="784" ht="15.75" customHeight="1" s="25"/>
    <row r="785" ht="15.75" customHeight="1" s="25"/>
    <row r="786" ht="15.75" customHeight="1" s="25"/>
    <row r="787" ht="15.75" customHeight="1" s="25"/>
    <row r="788" ht="15.75" customHeight="1" s="25"/>
    <row r="789" ht="15.75" customHeight="1" s="25"/>
    <row r="790" ht="15.75" customHeight="1" s="25"/>
    <row r="791" ht="15.75" customHeight="1" s="25"/>
    <row r="792" ht="15.75" customHeight="1" s="25"/>
    <row r="793" ht="15.75" customHeight="1" s="25"/>
    <row r="794" ht="15.75" customHeight="1" s="25"/>
    <row r="795" ht="15.75" customHeight="1" s="25"/>
    <row r="796" ht="15.75" customHeight="1" s="25"/>
    <row r="797" ht="15.75" customHeight="1" s="25"/>
    <row r="798" ht="15.75" customHeight="1" s="25"/>
    <row r="799" ht="15.75" customHeight="1" s="25"/>
    <row r="800" ht="15.75" customHeight="1" s="25"/>
    <row r="801" ht="15.75" customHeight="1" s="25"/>
    <row r="802" ht="15.75" customHeight="1" s="25"/>
    <row r="803" ht="15.75" customHeight="1" s="25"/>
    <row r="804" ht="15.75" customHeight="1" s="25"/>
    <row r="805" ht="15.75" customHeight="1" s="25"/>
    <row r="806" ht="15.75" customHeight="1" s="25"/>
    <row r="807" ht="15.75" customHeight="1" s="25"/>
    <row r="808" ht="15.75" customHeight="1" s="25"/>
    <row r="809" ht="15.75" customHeight="1" s="25"/>
    <row r="810" ht="15.75" customHeight="1" s="25"/>
    <row r="811" ht="15.75" customHeight="1" s="25"/>
    <row r="812" ht="15.75" customHeight="1" s="25"/>
    <row r="813" ht="15.75" customHeight="1" s="25"/>
    <row r="814" ht="15.75" customHeight="1" s="25"/>
    <row r="815" ht="15.75" customHeight="1" s="25"/>
    <row r="816" ht="15.75" customHeight="1" s="25"/>
    <row r="817" ht="15.75" customHeight="1" s="25"/>
    <row r="818" ht="15.75" customHeight="1" s="25"/>
    <row r="819" ht="15.75" customHeight="1" s="25"/>
    <row r="820" ht="15.75" customHeight="1" s="25"/>
    <row r="821" ht="15.75" customHeight="1" s="25"/>
    <row r="822" ht="15.75" customHeight="1" s="25"/>
    <row r="823" ht="15.75" customHeight="1" s="25"/>
    <row r="824" ht="15.75" customHeight="1" s="25"/>
    <row r="825" ht="15.75" customHeight="1" s="25"/>
    <row r="826" ht="15.75" customHeight="1" s="25"/>
    <row r="827" ht="15.75" customHeight="1" s="25"/>
    <row r="828" ht="15.75" customHeight="1" s="25"/>
    <row r="829" ht="15.75" customHeight="1" s="25"/>
    <row r="830" ht="15.75" customHeight="1" s="25"/>
    <row r="831" ht="15.75" customHeight="1" s="25"/>
    <row r="832" ht="15.75" customHeight="1" s="25"/>
    <row r="833" ht="15.75" customHeight="1" s="25"/>
    <row r="834" ht="15.75" customHeight="1" s="25"/>
    <row r="835" ht="15.75" customHeight="1" s="25"/>
    <row r="836" ht="15.75" customHeight="1" s="25"/>
    <row r="837" ht="15.75" customHeight="1" s="25"/>
    <row r="838" ht="15.75" customHeight="1" s="25"/>
    <row r="839" ht="15.75" customHeight="1" s="25"/>
    <row r="840" ht="15.75" customHeight="1" s="25"/>
    <row r="841" ht="15.75" customHeight="1" s="25"/>
    <row r="842" ht="15.75" customHeight="1" s="25"/>
    <row r="843" ht="15.75" customHeight="1" s="25"/>
    <row r="844" ht="15.75" customHeight="1" s="25"/>
    <row r="845" ht="15.75" customHeight="1" s="25"/>
    <row r="846" ht="15.75" customHeight="1" s="25"/>
    <row r="847" ht="15.75" customHeight="1" s="25"/>
    <row r="848" ht="15.75" customHeight="1" s="25"/>
    <row r="849" ht="15.75" customHeight="1" s="25"/>
    <row r="850" ht="15.75" customHeight="1" s="25"/>
    <row r="851" ht="15.75" customHeight="1" s="25"/>
    <row r="852" ht="15.75" customHeight="1" s="25"/>
    <row r="853" ht="15.75" customHeight="1" s="25"/>
    <row r="854" ht="15.75" customHeight="1" s="25"/>
    <row r="855" ht="15.75" customHeight="1" s="25"/>
    <row r="856" ht="15.75" customHeight="1" s="25"/>
    <row r="857" ht="15.75" customHeight="1" s="25"/>
    <row r="858" ht="15.75" customHeight="1" s="25"/>
    <row r="859" ht="15.75" customHeight="1" s="25"/>
    <row r="860" ht="15.75" customHeight="1" s="25"/>
    <row r="861" ht="15.75" customHeight="1" s="25"/>
    <row r="862" ht="15.75" customHeight="1" s="25"/>
    <row r="863" ht="15.75" customHeight="1" s="25"/>
    <row r="864" ht="15.75" customHeight="1" s="25"/>
    <row r="865" ht="15.75" customHeight="1" s="25"/>
    <row r="866" ht="15.75" customHeight="1" s="25"/>
    <row r="867" ht="15.75" customHeight="1" s="25"/>
    <row r="868" ht="15.75" customHeight="1" s="25"/>
    <row r="869" ht="15.75" customHeight="1" s="25"/>
    <row r="870" ht="15.75" customHeight="1" s="25"/>
    <row r="871" ht="15.75" customHeight="1" s="25"/>
    <row r="872" ht="15.75" customHeight="1" s="25"/>
    <row r="873" ht="15.75" customHeight="1" s="25"/>
    <row r="874" ht="15.75" customHeight="1" s="25"/>
    <row r="875" ht="15.75" customHeight="1" s="25"/>
    <row r="876" ht="15.75" customHeight="1" s="25"/>
    <row r="877" ht="15.75" customHeight="1" s="25"/>
    <row r="878" ht="15.75" customHeight="1" s="25"/>
    <row r="879" ht="15.75" customHeight="1" s="25"/>
    <row r="880" ht="15.75" customHeight="1" s="25"/>
    <row r="881" ht="15.75" customHeight="1" s="25"/>
    <row r="882" ht="15.75" customHeight="1" s="25"/>
    <row r="883" ht="15.75" customHeight="1" s="25"/>
    <row r="884" ht="15.75" customHeight="1" s="25"/>
    <row r="885" ht="15.75" customHeight="1" s="25"/>
    <row r="886" ht="15.75" customHeight="1" s="25"/>
    <row r="887" ht="15.75" customHeight="1" s="25"/>
    <row r="888" ht="15.75" customHeight="1" s="25"/>
    <row r="889" ht="15.75" customHeight="1" s="25"/>
    <row r="890" ht="15.75" customHeight="1" s="25"/>
    <row r="891" ht="15.75" customHeight="1" s="25"/>
    <row r="892" ht="15.75" customHeight="1" s="25"/>
    <row r="893" ht="15.75" customHeight="1" s="25"/>
    <row r="894" ht="15.75" customHeight="1" s="25"/>
    <row r="895" ht="15.75" customHeight="1" s="25"/>
    <row r="896" ht="15.75" customHeight="1" s="25"/>
    <row r="897" ht="15.75" customHeight="1" s="25"/>
    <row r="898" ht="15.75" customHeight="1" s="25"/>
    <row r="899" ht="15.75" customHeight="1" s="25"/>
    <row r="900" ht="15.75" customHeight="1" s="25"/>
    <row r="901" ht="15.75" customHeight="1" s="25"/>
    <row r="902" ht="15.75" customHeight="1" s="25"/>
    <row r="903" ht="15.75" customHeight="1" s="25"/>
    <row r="904" ht="15.75" customHeight="1" s="25"/>
    <row r="905" ht="15.75" customHeight="1" s="25"/>
    <row r="906" ht="15.75" customHeight="1" s="25"/>
    <row r="907" ht="15.75" customHeight="1" s="25"/>
    <row r="908" ht="15.75" customHeight="1" s="25"/>
    <row r="909" ht="15.75" customHeight="1" s="25"/>
    <row r="910" ht="15.75" customHeight="1" s="25"/>
    <row r="911" ht="15.75" customHeight="1" s="25"/>
    <row r="912" ht="15.75" customHeight="1" s="25"/>
    <row r="913" ht="15.75" customHeight="1" s="25"/>
    <row r="914" ht="15.75" customHeight="1" s="25"/>
    <row r="915" ht="15.75" customHeight="1" s="25"/>
    <row r="916" ht="15.75" customHeight="1" s="25"/>
    <row r="917" ht="15.75" customHeight="1" s="25"/>
    <row r="918" ht="15.75" customHeight="1" s="25"/>
    <row r="919" ht="15.75" customHeight="1" s="25"/>
    <row r="920" ht="15.75" customHeight="1" s="25"/>
    <row r="921" ht="15.75" customHeight="1" s="25"/>
    <row r="922" ht="15.75" customHeight="1" s="25"/>
    <row r="923" ht="15.75" customHeight="1" s="25"/>
    <row r="924" ht="15.75" customHeight="1" s="25"/>
    <row r="925" ht="15.75" customHeight="1" s="25"/>
    <row r="926" ht="15.75" customHeight="1" s="25"/>
    <row r="927" ht="15.75" customHeight="1" s="25"/>
    <row r="928" ht="15.75" customHeight="1" s="25"/>
    <row r="929" ht="15.75" customHeight="1" s="25"/>
    <row r="930" ht="15.75" customHeight="1" s="25"/>
    <row r="931" ht="15.75" customHeight="1" s="25"/>
    <row r="932" ht="15.75" customHeight="1" s="25"/>
    <row r="933" ht="15.75" customHeight="1" s="25"/>
    <row r="934" ht="15.75" customHeight="1" s="25"/>
    <row r="935" ht="15.75" customHeight="1" s="25"/>
    <row r="936" ht="15.75" customHeight="1" s="25"/>
    <row r="937" ht="15.75" customHeight="1" s="25"/>
    <row r="938" ht="15.75" customHeight="1" s="25"/>
    <row r="939" ht="15.75" customHeight="1" s="25"/>
    <row r="940" ht="15.75" customHeight="1" s="25"/>
    <row r="941" ht="15.75" customHeight="1" s="25"/>
    <row r="942" ht="15.75" customHeight="1" s="25"/>
    <row r="943" ht="15.75" customHeight="1" s="25"/>
    <row r="944" ht="15.75" customHeight="1" s="25"/>
    <row r="945" ht="15.75" customHeight="1" s="25"/>
    <row r="946" ht="15.75" customHeight="1" s="25"/>
    <row r="947" ht="15.75" customHeight="1" s="25"/>
    <row r="948" ht="15.75" customHeight="1" s="25"/>
    <row r="949" ht="15.75" customHeight="1" s="25"/>
    <row r="950" ht="15.75" customHeight="1" s="25"/>
    <row r="951" ht="15.75" customHeight="1" s="25"/>
    <row r="952" ht="15.75" customHeight="1" s="25"/>
    <row r="953" ht="15.75" customHeight="1" s="25"/>
    <row r="954" ht="15.75" customHeight="1" s="25"/>
    <row r="955" ht="15.75" customHeight="1" s="25"/>
    <row r="956" ht="15.75" customHeight="1" s="25"/>
    <row r="957" ht="15.75" customHeight="1" s="25"/>
    <row r="958" ht="15.75" customHeight="1" s="25"/>
    <row r="959" ht="15.75" customHeight="1" s="25"/>
    <row r="960" ht="15.75" customHeight="1" s="25"/>
    <row r="961" ht="15.75" customHeight="1" s="25"/>
    <row r="962" ht="15.75" customHeight="1" s="25"/>
    <row r="963" ht="15.75" customHeight="1" s="25"/>
    <row r="964" ht="15.75" customHeight="1" s="25"/>
    <row r="965" ht="15.75" customHeight="1" s="25"/>
    <row r="966" ht="15.75" customHeight="1" s="25"/>
    <row r="967" ht="15.75" customHeight="1" s="25"/>
    <row r="968" ht="15.75" customHeight="1" s="25"/>
    <row r="969" ht="15.75" customHeight="1" s="25"/>
    <row r="970" ht="15.75" customHeight="1" s="25"/>
    <row r="971" ht="15.75" customHeight="1" s="25"/>
    <row r="972" ht="15.75" customHeight="1" s="25"/>
    <row r="973" ht="15.75" customHeight="1" s="25"/>
    <row r="974" ht="15.75" customHeight="1" s="25"/>
    <row r="975" ht="15.75" customHeight="1" s="25"/>
    <row r="976" ht="15.75" customHeight="1" s="25"/>
    <row r="977" ht="15.75" customHeight="1" s="25"/>
    <row r="978" ht="15.75" customHeight="1" s="25"/>
    <row r="979" ht="15.75" customHeight="1" s="25"/>
    <row r="980" ht="15.75" customHeight="1" s="25"/>
    <row r="981" ht="15.75" customHeight="1" s="25"/>
    <row r="982" ht="15.75" customHeight="1" s="25"/>
    <row r="983" ht="15.75" customHeight="1" s="25"/>
    <row r="984" ht="15.75" customHeight="1" s="25"/>
    <row r="985" ht="15.75" customHeight="1" s="25"/>
    <row r="986" ht="15.75" customHeight="1" s="25"/>
    <row r="987" ht="15.75" customHeight="1" s="25"/>
    <row r="988" ht="15.75" customHeight="1" s="25"/>
    <row r="989" ht="15.75" customHeight="1" s="25"/>
    <row r="990" ht="15.75" customHeight="1" s="25"/>
    <row r="991" ht="15.75" customHeight="1" s="25"/>
    <row r="992" ht="15.75" customHeight="1" s="25"/>
    <row r="993" ht="15.75" customHeight="1" s="25"/>
    <row r="994" ht="15.75" customHeight="1" s="25"/>
    <row r="995" ht="15.75" customHeight="1" s="25"/>
    <row r="996" ht="15.75" customHeight="1" s="25"/>
    <row r="997" ht="15.75" customHeight="1" s="25"/>
    <row r="998" ht="15.75" customHeight="1" s="25"/>
    <row r="999" ht="15.75" customHeight="1" s="25"/>
    <row r="1000" ht="15.75" customHeight="1" s="25"/>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2026-09-22T05:27:47Z</dcterms:created>
  <dcterms:modified xmlns:dcterms="http://purl.org/dc/terms/" xmlns:xsi="http://www.w3.org/2001/XMLSchema-instance" xsi:type="dcterms:W3CDTF">2026-10-14T13:13:23Z</dcterms:modified>
  <cp:revision>0</cp:revision>
</cp:coreProperties>
</file>