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Events" sheetId="2" state="visible" r:id="rId4"/>
    <sheet name="2 Fields" sheetId="3" state="visible" r:id="rId5"/>
    <sheet name="3 Data model changes" sheetId="4" state="visible" r:id="rId6"/>
    <sheet name="Rules" sheetId="5" state="visible" r:id="rId7"/>
    <sheet name="4 Native event map" sheetId="6" state="visible" r:id="rId8"/>
  </sheets>
  <definedNames>
    <definedName function="false" hidden="true" localSheetId="1" name="_xlnm._FilterDatabase" vbProcedure="false">'1 Events'!$A$4:$L$17</definedName>
    <definedName function="false" hidden="true" localSheetId="2" name="_xlnm._FilterDatabase" vbProcedure="false">'2 Fields'!$A$4:$N$69</definedName>
    <definedName function="false" hidden="true" localSheetId="3" name="_xlnm._FilterDatabase" vbProcedure="false">'3 Data model changes'!$A$4:$J$13</definedName>
    <definedName function="false" hidden="true" localSheetId="4" name="_xlnm._FilterDatabase" vbProcedure="false">Rules!$A$4:$E$19</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E18" authorId="0">
      <text>
        <r>
          <rPr>
            <sz val="10"/>
            <rFont val="Arial"/>
            <family val="2"/>
          </rPr>
          <t xml:space="preserve">======
ID#AAACHu9PsPM
KalaNisha G    (2026-09-29 07:00:59)
Ignore the yellow highlighted text. Its for my reference</t>
        </r>
      </text>
    </comment>
  </commentList>
</comments>
</file>

<file path=xl/sharedStrings.xml><?xml version="1.0" encoding="utf-8"?>
<sst xmlns="http://schemas.openxmlformats.org/spreadsheetml/2006/main" count="1522" uniqueCount="812">
  <si>
    <t xml:space="preserve">Capture register (SOCO-REC-DS-003a)</t>
  </si>
  <si>
    <t xml:space="preserve">What this is</t>
  </si>
  <si>
    <t xml:space="preserve">The single list of what the app, the backend and the recommendation service must capture, field by field. Updated 29 September 2026. The Wave 1A build list wins where the two differ.</t>
  </si>
  <si>
    <t xml:space="preserve">Aravinth</t>
  </si>
  <si>
    <t xml:space="preserve">For each of your rows, "What must be built" / "What the value must be" is the rule you have to code to. "How to check it is right" is how you will check your own work.</t>
  </si>
  <si>
    <t xml:space="preserve">What is in it</t>
  </si>
  <si>
    <t xml:space="preserve">13 events, 80 fields and 12 data model changes, the Rules sheet that most rows point to, and sheet 4, which maps the platform's 26 native event types to the events.</t>
  </si>
  <si>
    <t xml:space="preserve">Allen</t>
  </si>
  <si>
    <t xml:space="preserve">Builds your rows (E1, served_items, the engine sync, ml_events) the same way, and reports status the same way.</t>
  </si>
  <si>
    <t xml:space="preserve">How to read a row</t>
  </si>
  <si>
    <t xml:space="preserve">Status says where it stood on 29 September 2026 (Verify = reported built in the APP-00 answers, check still to run). For a built row, Built on / due by is the build date. For rows still to build it is blank: the step each row sits in is in the Wave 1A build list, which also names the item (APP, DB or ENG) that builds it. What must be built / What the value must be is the rule to build and test against. Decided in lists the related codes in this register.</t>
  </si>
  <si>
    <t xml:space="preserve">Run the code test. The test reads the register. Generate the schema file both sides build against from it.</t>
  </si>
  <si>
    <t xml:space="preserve">Built</t>
  </si>
  <si>
    <t xml:space="preserve">Reported built. Checked by the How to check column.</t>
  </si>
  <si>
    <t xml:space="preserve">Report failures in two kinds: names missing from the register, or the test not being able to read the layout.</t>
  </si>
  <si>
    <t xml:space="preserve">Verify</t>
  </si>
  <si>
    <t xml:space="preserve">Reported built, one check still to run.</t>
  </si>
  <si>
    <t xml:space="preserve">Keeps the register in step with the build list: dates every change in the Note, and adds rows only for new fields in the API contract.</t>
  </si>
  <si>
    <t xml:space="preserve">To build</t>
  </si>
  <si>
    <t xml:space="preserve">Accepted, not built yet. The step is in the Wave 1A build list.</t>
  </si>
  <si>
    <t xml:space="preserve">Deferred</t>
  </si>
  <si>
    <t xml:space="preserve">After Wave 1A. The consequence is in the Note.</t>
  </si>
  <si>
    <t xml:space="preserve">Closed</t>
  </si>
  <si>
    <t xml:space="preserve">Nothing to build: already captured or not needed.</t>
  </si>
  <si>
    <t xml:space="preserve">Changing a row</t>
  </si>
  <si>
    <t xml:space="preserve">Change it here and date the change in the Note. Any change to an event, a field or a retention period is agreed in writing by Allen and Aravinth first.</t>
  </si>
  <si>
    <t xml:space="preserve">History</t>
  </si>
  <si>
    <t xml:space="preserve">Earlier versions are withdrawn. This is the only version.</t>
  </si>
  <si>
    <t xml:space="preserve">Where things stand</t>
  </si>
  <si>
    <t xml:space="preserve">Status</t>
  </si>
  <si>
    <t xml:space="preserve">Events</t>
  </si>
  <si>
    <t xml:space="preserve">Fields</t>
  </si>
  <si>
    <t xml:space="preserve">Data model changes</t>
  </si>
  <si>
    <t xml:space="preserve">To build (dates in the build list)</t>
  </si>
  <si>
    <t xml:space="preserve">Total</t>
  </si>
  <si>
    <t xml:space="preserve">One row per event. Status says where it stands; the date is when it was built or the date the owner committed to. Grey rows need nothing in Wave 1A.</t>
  </si>
  <si>
    <t xml:space="preserve">ID</t>
  </si>
  <si>
    <t xml:space="preserve">Event name</t>
  </si>
  <si>
    <t xml:space="preserve">Fired when</t>
  </si>
  <si>
    <t xml:space="preserve">Priority</t>
  </si>
  <si>
    <t xml:space="preserve">Owner</t>
  </si>
  <si>
    <t xml:space="preserve">Built on / due by</t>
  </si>
  <si>
    <t xml:space="preserve">What must be built</t>
  </si>
  <si>
    <t xml:space="preserve">How to check it is right</t>
  </si>
  <si>
    <t xml:space="preserve">Why it is needed</t>
  </si>
  <si>
    <t xml:space="preserve">Decided in</t>
  </si>
  <si>
    <t xml:space="preserve">Note</t>
  </si>
  <si>
    <t xml:space="preserve">E1</t>
  </si>
  <si>
    <t xml:space="preserve">recommendation_request</t>
  </si>
  <si>
    <t xml:space="preserve">Any surface asks for a list of items to show</t>
  </si>
  <si>
    <t xml:space="preserve">Blocking</t>
  </si>
  <si>
    <t xml:space="preserve">Allen; Aravinth for fallback lists and the serve log</t>
  </si>
  <si>
    <t xml:space="preserve">The service writes one E1 per list it returns, in the engine database, with served_items (item_id, item_type, post_id, product_id, position). SOCO_BE writes recommendationrequests for fallback lists (platform policy_id), and one rec_serve_log row per list request (origin, outcome, elapsed time). The engine sync copies both (X-02).</t>
  </si>
  <si>
    <t xml:space="preserve">One E1 per engine list, and one rec_serve_log row per list request. At least 99% of impressions on engine lists show the item the engine returned at that position (build list ENG-23 V9).</t>
  </si>
  <si>
    <t xml:space="preserve">Creates the request identifier that ties everything else together. Without it, no other event can be linked to a decision.</t>
  </si>
  <si>
    <t xml:space="preserve">E1, X-03</t>
  </si>
  <si>
    <t xml:space="preserve">29 Sep 2026: Engine lists are shown unchanged: no delivered-list record (X-17). Build list ENG-06 (E1) and APP-15 (serve log).</t>
  </si>
  <si>
    <t xml:space="preserve">E2</t>
  </si>
  <si>
    <t xml:space="preserve">recommendation_impression</t>
  </si>
  <si>
    <t xml:space="preserve">An item is at least 50% on screen</t>
  </si>
  <si>
    <t xml:space="preserve">Recorded by SOCO_BE as a postevents impression row from the app's batches. One per item per list, sent when the item leaves the screen after being seen, or when the app goes to background, with dwell_ms of the first spell. Not sent again in the same list. Unseen items are not sent. An impression on the post page (surface post_detail) is a page visit, never a card impression or a seen_ids entry.</t>
  </si>
  <si>
    <t xml:space="preserve">Scroll a feed: one event per item that was at least 50% on screen, none for items never reached, none repeated within a request.</t>
  </si>
  <si>
    <t xml:space="preserve">Records what was shown and in what position. This is the comparison the engine learns from, more than the clicks themselves.</t>
  </si>
  <si>
    <t xml:space="preserve">E2, X-04, X-05</t>
  </si>
  <si>
    <t xml:space="preserve">28 Sep 2026: Native event: impression (capture register sheet 4). The engine reads it with its sync (X-02). Post-page check: build list APP-00 point 5.</t>
  </si>
  <si>
    <t xml:space="preserve">E3</t>
  </si>
  <si>
    <t xml:space="preserve">recommendation_click</t>
  </si>
  <si>
    <t xml:space="preserve">User taps a card</t>
  </si>
  <si>
    <t xml:space="preserve">A card-level tap that opens post detail (or product detail on a product card) fires E3 alongside the navigation. Taps on like, comment, share or save are E9, not E3.</t>
  </si>
  <si>
    <t xml:space="preserve">Tap an item and confirm the event carries the same request_id as the impression for that item.</t>
  </si>
  <si>
    <t xml:space="preserve">The positive signal. Only meaningful when paired with the impressions that were not clicked.</t>
  </si>
  <si>
    <t xml:space="preserve">28 Sep 2026: Native event: click (product_click from older builds counts as a click). Read by the engine sync (X-02).</t>
  </si>
  <si>
    <t xml:space="preserve">E4</t>
  </si>
  <si>
    <t xml:space="preserve">add_to_cart</t>
  </si>
  <si>
    <t xml:space="preserve">User adds a product to cart</t>
  </si>
  <si>
    <t xml:space="preserve">Important</t>
  </si>
  <si>
    <t xml:space="preserve">Recorded by SOCO_BE after every cart write: add_to_cart for units added and remove_from_cart for units removed, each with variant_id, quantity (units in this action), value and the list that first added the item (carts.ml, X-07).</t>
  </si>
  <si>
    <t xml:space="preserve">Add a product, raise it to 3, lower it to 2, remove it: two add rows (1 and 2 units) and two remove rows (1 and 2 units), all with the first list.</t>
  </si>
  <si>
    <t xml:space="preserve">Links an add-to-cart to the list that showed the product. The engine uses it to measure the product surface (ENG-26) and for product popularity (ENG-17).</t>
  </si>
  <si>
    <t xml:space="preserve">E4, X-07</t>
  </si>
  <si>
    <t xml:space="preserve">28 Sep 2026: Reported built (APP-00 answers Q4). remove_from_cart is stored but carries no model weight in Wave 1A. Build list APP-06.</t>
  </si>
  <si>
    <t xml:space="preserve">E5</t>
  </si>
  <si>
    <t xml:space="preserve">order_placed</t>
  </si>
  <si>
    <t xml:space="preserve">Once, on successful order creation, whether or not the order has a post_id. Never on a failed or retried save.</t>
  </si>
  <si>
    <t xml:space="preserve">One purchase row in postevents per order, and the order itself, on successful creation, with or without a post. Incognito orders are recorded too (X-09).</t>
  </si>
  <si>
    <t xml:space="preserve">Place orders with and without a post_id: one event per order in both cases.</t>
  </si>
  <si>
    <t xml:space="preserve">The commercial outcome record in ml_events, for the next wave's learned models. In Wave 1A the engine reads orders directly from the orders collection (ENG-03).</t>
  </si>
  <si>
    <t xml:space="preserve">28 Sep 2026: Reported built (answers Q5, Q11). Build list APP-07.</t>
  </si>
  <si>
    <t xml:space="preserve">E6</t>
  </si>
  <si>
    <t xml:space="preserve">order_state_changed</t>
  </si>
  <si>
    <t xml:space="preserve">order_status changes</t>
  </si>
  <si>
    <t xml:space="preserve">Each order_status change adds one entry to orders.tracking_info (existing), with the new status, the time and who acted. The engine reads tracking_info as the order's history. Returns: order_status Return Requested, then Returned (D1).</t>
  </si>
  <si>
    <t xml:space="preserve">Every code path that writes order_status adds a tracking_info entry. 20 sample orders show every status they passed through, including Delivered and Return Requested.</t>
  </si>
  <si>
    <t xml:space="preserve">The order state history in ml_events, for the next wave's learned models. In Wave 1A the engine reads order states and returns directly from the orders collection (ENG-03).</t>
  </si>
  <si>
    <t xml:space="preserve">E6, X-13</t>
  </si>
  <si>
    <t xml:space="preserve">29 Sep 2026: tracking_info replaces the status log; entries are added only where a code path writes none. Build list APP-08.</t>
  </si>
  <si>
    <t xml:space="preserve">E7</t>
  </si>
  <si>
    <t xml:space="preserve">payment_state_changed</t>
  </si>
  <si>
    <t xml:space="preserve">Payment settles, fails or is charged back</t>
  </si>
  <si>
    <t xml:space="preserve">Deferred to after Wave 1A. No payment webhook is built for Wave 1A.</t>
  </si>
  <si>
    <t xml:space="preserve">—</t>
  </si>
  <si>
    <t xml:space="preserve">Separates a completed sale from an abandoned one.</t>
  </si>
  <si>
    <t xml:space="preserve">Consequence: failed payments and chargebacks are not separated. Acceptable because success is order_status Delivered. Payed Off is written by changePaymentBySeller.</t>
  </si>
  <si>
    <t xml:space="preserve">E8</t>
  </si>
  <si>
    <t xml:space="preserve">commission_state_changed</t>
  </si>
  <si>
    <t xml:space="preserve">Commission is attributed, confirmed or reversed</t>
  </si>
  <si>
    <t xml:space="preserve">Deferred with Engine B. When scheduled: add a 'reversed' value, a timestamp for each transition, and the approve and pay handlers.</t>
  </si>
  <si>
    <t xml:space="preserve">The outcome signal for promoter matching.</t>
  </si>
  <si>
    <t xml:space="preserve">Records live in influencerearnings: status pending, approved or paid; commission_rate stored per record, default 10.</t>
  </si>
  <si>
    <t xml:space="preserve">E9</t>
  </si>
  <si>
    <t xml:space="preserve">social_interaction</t>
  </si>
  <si>
    <t xml:space="preserve">Like, unlike, save, unsave, share, repost, follow or unfollow</t>
  </si>
  <si>
    <t xml:space="preserve">Recorded by SOCO_BE as postevents rows: like, unlike, save, unsave, comment, uncomment, share, repost, follow, unfollow. An undo is its own row with undo_of; the original gets undone_at and is never deleted. is_self marks the author acting on their own post.</t>
  </si>
  <si>
    <t xml:space="preserve">All eight actions appear across a sample, each with an actor and a timestamp.</t>
  </si>
  <si>
    <t xml:space="preserve">Kept in ml_events as the full record of social actions, including undos, for the next wave's learned models. In Wave 1A the engine reads likes, saves, comments and shares from postevents and follows from follows, so each action is counted once (ENG-03).</t>
  </si>
  <si>
    <t xml:space="preserve">28 Sep 2026: Native events (sheet 4). Read by the engine sync.</t>
  </si>
  <si>
    <t xml:space="preserve">E10</t>
  </si>
  <si>
    <t xml:space="preserve">opportunity_state_changed</t>
  </si>
  <si>
    <t xml:space="preserve">Promoter accepts, completes, withdraws from or lets an opportunity expire</t>
  </si>
  <si>
    <t xml:space="preserve">Deferred with Engine B. No opportunity flow exists.</t>
  </si>
  <si>
    <t xml:space="preserve">The outcome signal for promoter to opportunity matching.</t>
  </si>
  <si>
    <t xml:space="preserve">Consequence: promoter-to-opportunity matching has no outcome signal.</t>
  </si>
  <si>
    <t xml:space="preserve">E11</t>
  </si>
  <si>
    <t xml:space="preserve">search_performed</t>
  </si>
  <si>
    <t xml:space="preserve">User runs a search</t>
  </si>
  <si>
    <t xml:space="preserve">Useful</t>
  </si>
  <si>
    <t xml:space="preserve">Deferred to after Wave 1A. When scheduled, add result_categories.</t>
  </si>
  <si>
    <t xml:space="preserve">Direct statement of intent, and the strongest signal for a new user with no history.</t>
  </si>
  <si>
    <t xml:space="preserve">Consequence: a new user with no history relies on declared interests only.</t>
  </si>
  <si>
    <t xml:space="preserve">E12</t>
  </si>
  <si>
    <t xml:space="preserve">identity_stitched</t>
  </si>
  <si>
    <t xml:space="preserve">Anonymous activity is linked to an account at login</t>
  </si>
  <si>
    <t xml:space="preserve">Not needed. Login is required before any feed or product is shown, so there is no anonymous activity to stitch.</t>
  </si>
  <si>
    <t xml:space="preserve">Would preserve pre-login browsing.</t>
  </si>
  <si>
    <t xml:space="preserve">E13</t>
  </si>
  <si>
    <t xml:space="preserve">content_feedback</t>
  </si>
  <si>
    <t xml:space="preserve">User chooses not interested, hide, report or mute author on a card</t>
  </si>
  <si>
    <t xml:space="preserve">Sent when a user chooses not interested, hide, report or mute author. Fields F60 to F65. If a card's menu has no 'Not interested' choice, one is added.</t>
  </si>
  <si>
    <t xml:space="preserve">Choose each of the four options on a card: one event each, with the right target_type and feedback_type.</t>
  </si>
  <si>
    <t xml:space="preserve">The only negative signal M1 has.</t>
  </si>
  <si>
    <t xml:space="preserve">X-12</t>
  </si>
  <si>
    <t xml:space="preserve">28 Sep 2026: Native event: feedback, with feedback_type and target_type. Read by the engine sync.</t>
  </si>
  <si>
    <t xml:space="preserve">One row per field. What the value must be is the rule to build and test against. Grey rows need nothing in Wave 1A.</t>
  </si>
  <si>
    <t xml:space="preserve">Event</t>
  </si>
  <si>
    <t xml:space="preserve">Field name</t>
  </si>
  <si>
    <t xml:space="preserve">Type and example</t>
  </si>
  <si>
    <t xml:space="preserve">Req ref</t>
  </si>
  <si>
    <t xml:space="preserve">What the value must be</t>
  </si>
  <si>
    <t xml:space="preserve">Why this field is needed</t>
  </si>
  <si>
    <t xml:space="preserve">F01</t>
  </si>
  <si>
    <t xml:space="preserve">request_id</t>
  </si>
  <si>
    <t xml:space="preserve">string  ·  3f1c9a2e-7b4d-4e21-9c8a-5d6e7f8a9b0c</t>
  </si>
  <si>
    <t xml:space="preserve">R1</t>
  </si>
  <si>
    <t xml:space="preserve">Generated by the recommendation service, one per list, returned in the response and written on E1.</t>
  </si>
  <si>
    <t xml:space="preserve">Sample a hundred child events and join back to the request. Zero orphans.</t>
  </si>
  <si>
    <t xml:space="preserve">The single identifier that links a request to everything that follows from it</t>
  </si>
  <si>
    <t xml:space="preserve">Built by ENG-06. The app already stores and echoes a request_id (F08).</t>
  </si>
  <si>
    <t xml:space="preserve">F02</t>
  </si>
  <si>
    <t xml:space="preserve">surface</t>
  </si>
  <si>
    <t xml:space="preserve">enum  ·  feed</t>
  </si>
  <si>
    <t xml:space="preserve">Aravinth; Allen</t>
  </si>
  <si>
    <t xml:space="preserve">Set by SOCO_BE at the call: feed or product only. products → product; for you, following, trending and local → feed. The service rejects any other value.</t>
  </si>
  <si>
    <t xml:space="preserve">Values are only feed or product. No nulls. Set at the call, never inferred.</t>
  </si>
  <si>
    <t xml:space="preserve">Which surface asked. Each surface is ranked differently</t>
  </si>
  <si>
    <t xml:space="preserve">F02, X-11</t>
  </si>
  <si>
    <t xml:space="preserve">28 Sep 2026: Platform rows carry native surfaces (home_for_you, product_detail, cart, post_detail). The engine maps home_for_you to feed and product_detail and cart to product. Other tabs and post_detail are not engine surfaces.</t>
  </si>
  <si>
    <t xml:space="preserve">F03</t>
  </si>
  <si>
    <t xml:space="preserve">user_id</t>
  </si>
  <si>
    <t xml:space="preserve">string  ·  65f1a2b3c4d5e6f708192a3b</t>
  </si>
  <si>
    <t xml:space="preserve">R6</t>
  </si>
  <si>
    <t xml:space="preserve">No change. Already captured.</t>
  </si>
  <si>
    <t xml:space="preserve">Populated on every event from a logged in session, and resolves to a user document.</t>
  </si>
  <si>
    <t xml:space="preserve">Who the request was for</t>
  </si>
  <si>
    <t xml:space="preserve">F04</t>
  </si>
  <si>
    <t xml:space="preserve">session_id</t>
  </si>
  <si>
    <t xml:space="preserve">string  ·  ses_k2m9q4x1a8b3</t>
  </si>
  <si>
    <t xml:space="preserve">The app session id (X-10): kept across restarts; a new one after 30 minutes or more away (background or closed); does not expire during use. Passed by SOCO_BE and written on E1.</t>
  </si>
  <si>
    <t xml:space="preserve">Stable across a visit, including a cold restart. Changes after 30 minutes in background.</t>
  </si>
  <si>
    <t xml:space="preserve">Groups activity within one visit</t>
  </si>
  <si>
    <t xml:space="preserve">F04, X-10</t>
  </si>
  <si>
    <t xml:space="preserve">28 Sep 2026: Reported built (answers Q14). Device check: build list APP-01.</t>
  </si>
  <si>
    <t xml:space="preserve">F05</t>
  </si>
  <si>
    <t xml:space="preserve">candidate_ids</t>
  </si>
  <si>
    <t xml:space="preserve">array  ·  [6a3fe5cf…7fe, 6a5a79d9…1dd, ...]</t>
  </si>
  <si>
    <t xml:space="preserve">R2</t>
  </si>
  <si>
    <t xml:space="preserve">Written on E1 only. Never returned to the app.</t>
  </si>
  <si>
    <t xml:space="preserve">Length is at least the number of items shown, and the items shown are all in it. On a small catalogue the two can be equal, which is correct.</t>
  </si>
  <si>
    <t xml:space="preserve">What was available to choose from, including items not shown</t>
  </si>
  <si>
    <t xml:space="preserve">Built by ENG-06.</t>
  </si>
  <si>
    <t xml:space="preserve">F06</t>
  </si>
  <si>
    <t xml:space="preserve">policy_id</t>
  </si>
  <si>
    <t xml:space="preserve">string  ·  cfg3.interest-2.promoter-1</t>
  </si>
  <si>
    <t xml:space="preserve">R3</t>
  </si>
  <si>
    <t xml:space="preserve">Allen; Aravinth</t>
  </si>
  <si>
    <t xml:space="preserve">Engine lists: configuration version plus, on two-method slots, the method that served (cfg…). Fallback lists keep the platform's own policy_id (wave1a_v1 or prodrec_v1).</t>
  </si>
  <si>
    <t xml:space="preserve">Changes when the ranking configuration changes, and the change is timestamped.</t>
  </si>
  <si>
    <t xml:space="preserve">Which version of the ranking logic produced this list</t>
  </si>
  <si>
    <t xml:space="preserve">28 Sep 2026: Any policy_id not starting with cfg is a fallback list.</t>
  </si>
  <si>
    <t xml:space="preserve">F07</t>
  </si>
  <si>
    <t xml:space="preserve">server_ts</t>
  </si>
  <si>
    <t xml:space="preserve">datetime  ·  2026-11-04T09:15:22.140Z</t>
  </si>
  <si>
    <t xml:space="preserve">R7</t>
  </si>
  <si>
    <t xml:space="preserve">UTC with milliseconds, at decision time.</t>
  </si>
  <si>
    <t xml:space="preserve">UTC, ISO 8601, millisecond precision, and not equal to the time the event was ingested.</t>
  </si>
  <si>
    <t xml:space="preserve">When the decision was made, in UTC</t>
  </si>
  <si>
    <t xml:space="preserve">F08</t>
  </si>
  <si>
    <t xml:space="preserve">The app stores request_id for each page and sends it on every impression from that page.</t>
  </si>
  <si>
    <t xml:space="preserve">Sample a hundred child events and join back to the request. Zero orphans, and no nulls.</t>
  </si>
  <si>
    <t xml:space="preserve">Links the impression back to the request</t>
  </si>
  <si>
    <t xml:space="preserve">F08, X-07</t>
  </si>
  <si>
    <t xml:space="preserve">F09</t>
  </si>
  <si>
    <t xml:space="preserve">item_id</t>
  </si>
  <si>
    <t xml:space="preserve">string  ·  6a3fe5cfcce0b0785136e7fe</t>
  </si>
  <si>
    <t xml:space="preserve">The id of the card shown, as the 24-character ObjectId string: a post id on a post card (including a post that shows a product), a product id on a product card. post_id and product_id are kept alongside (F75).</t>
  </si>
  <si>
    <t xml:space="preserve">Resolves to a post or product document.</t>
  </si>
  <si>
    <t xml:space="preserve">Which item was shown</t>
  </si>
  <si>
    <t xml:space="preserve">F10</t>
  </si>
  <si>
    <t xml:space="preserve">item_type</t>
  </si>
  <si>
    <t xml:space="preserve">enum  ·  product</t>
  </si>
  <si>
    <t xml:space="preserve">post for post cards, product for product cards. No other value in Wave 1A.</t>
  </si>
  <si>
    <t xml:space="preserve">Values are only post or product.</t>
  </si>
  <si>
    <t xml:space="preserve">Tells the engine what kind of card was shown</t>
  </si>
  <si>
    <t xml:space="preserve">28 Sep 2026: On platform feed lists, item_type product with a post id is a post card showing a product: read post_id = item_id (X-16).</t>
  </si>
  <si>
    <t xml:space="preserve">F11</t>
  </si>
  <si>
    <t xml:space="preserve">position</t>
  </si>
  <si>
    <t xml:space="preserve">integer  ·  4</t>
  </si>
  <si>
    <t xml:space="preserve">From 1, in on-screen order, within each request. Each page is its own request. 0 is invalid. SOCO_BE shows engine lists unchanged, so this is the position the engine returned.</t>
  </si>
  <si>
    <t xml:space="preserve">Integers from 1 upward within a single request, with no gaps in the positions served. Clicked positions need not be consecutive, and click rate need not fall at every position.</t>
  </si>
  <si>
    <t xml:space="preserve">Where it appeared. Items at the top get clicked more regardless of quality</t>
  </si>
  <si>
    <t xml:space="preserve">F11, X-06</t>
  </si>
  <si>
    <t xml:space="preserve">29 Sep 2026: X-06. engine_position is no longer needed.</t>
  </si>
  <si>
    <t xml:space="preserve">F12</t>
  </si>
  <si>
    <t xml:space="preserve">viewport_entered</t>
  </si>
  <si>
    <t xml:space="preserve">boolean  ·  true</t>
  </si>
  <si>
    <t xml:space="preserve">True when at least 50% of the item is on screen, for every media type. Always true on a sent impression.</t>
  </si>
  <si>
    <t xml:space="preserve">Every sent row is true. Served-but-unseen items are derived from E1 served_items, not sent.</t>
  </si>
  <si>
    <t xml:space="preserve">Whether the user actually saw it</t>
  </si>
  <si>
    <t xml:space="preserve">F12, X-04, X-05</t>
  </si>
  <si>
    <t xml:space="preserve">F13</t>
  </si>
  <si>
    <t xml:space="preserve">dwell_ms</t>
  </si>
  <si>
    <t xml:space="preserve">integer  ·  2400</t>
  </si>
  <si>
    <t xml:space="preserve">Milliseconds of the first spell on screen, sent on leave or app background. A qualified view is at least 3,000 ms.</t>
  </si>
  <si>
    <t xml:space="preserve">Positive, and not identical across items in one request.</t>
  </si>
  <si>
    <t xml:space="preserve">How long it stayed on screen. A weak signal on its own, useful in combination</t>
  </si>
  <si>
    <t xml:space="preserve">F13, X-04</t>
  </si>
  <si>
    <t xml:space="preserve">28 Sep 2026: On view rows, dwell_ms is the longest first-spell watch (never lowered) or the time on the post page; it replaces view_duration_seconds. Capped at 600,000 ms.</t>
  </si>
  <si>
    <t xml:space="preserve">F14</t>
  </si>
  <si>
    <t xml:space="preserve">is_exploration</t>
  </si>
  <si>
    <t xml:space="preserve">boolean  ·  false</t>
  </si>
  <si>
    <t xml:space="preserve">R5</t>
  </si>
  <si>
    <t xml:space="preserve">Copied from the service response onto every impression from that list. Never computed on the device.</t>
  </si>
  <si>
    <t xml:space="preserve">Share of true rows matches the agreed percentage within about one point.</t>
  </si>
  <si>
    <t xml:space="preserve">Marks the small randomised slice of traffic</t>
  </si>
  <si>
    <t xml:space="preserve">F15</t>
  </si>
  <si>
    <t xml:space="preserve">client_ts</t>
  </si>
  <si>
    <t xml:space="preserve">datetime  ·  2026-11-04T14:45:22+05:30</t>
  </si>
  <si>
    <t xml:space="preserve">Device time with timezone offset, taken when the item is first seen. Stored exactly as sent.</t>
  </si>
  <si>
    <t xml:space="preserve">Carries a timezone offset and differs from server_ts. Never overwritten by server time.</t>
  </si>
  <si>
    <t xml:space="preserve">Device time with offset, kept separate from server time</t>
  </si>
  <si>
    <t xml:space="preserve">F16</t>
  </si>
  <si>
    <t xml:space="preserve">The same stored request_id as the impression for that item.</t>
  </si>
  <si>
    <t xml:space="preserve">Links the click to what else was on screen</t>
  </si>
  <si>
    <t xml:space="preserve">F16, X-07</t>
  </si>
  <si>
    <t xml:space="preserve">F17</t>
  </si>
  <si>
    <t xml:space="preserve">R4</t>
  </si>
  <si>
    <t xml:space="preserve">Sent from the card-level tap handler (E3).</t>
  </si>
  <si>
    <t xml:space="preserve">What was chosen</t>
  </si>
  <si>
    <t xml:space="preserve">F18</t>
  </si>
  <si>
    <t xml:space="preserve">The same displayed position as F11.</t>
  </si>
  <si>
    <t xml:space="preserve">Position of the clicked item</t>
  </si>
  <si>
    <t xml:space="preserve">F18, X-06</t>
  </si>
  <si>
    <t xml:space="preserve">F19</t>
  </si>
  <si>
    <t xml:space="preserve">datetime  ·  2026-11-04T09:15:31.002Z</t>
  </si>
  <si>
    <t xml:space="preserve">Stamped by SOCO_BE in UTC with milliseconds when it receives the click.</t>
  </si>
  <si>
    <t xml:space="preserve">When the click happened</t>
  </si>
  <si>
    <t xml:space="preserve">F20</t>
  </si>
  <si>
    <t xml:space="preserve">The list that first put the item in the cart, kept in carts.ml.request_id (with position, surface, item_type, is_exploration, at). Quantity changes, removal and an order without context carry it; a re-add from another list is credited to that list. Null if the item was not reached from a list.</t>
  </si>
  <si>
    <t xml:space="preserve">Sample a hundred events from recommended lists and join back to the request: zero orphans. Null only where the action was not reached from a list.</t>
  </si>
  <si>
    <t xml:space="preserve">Links the intent back to what prompted it</t>
  </si>
  <si>
    <t xml:space="preserve">F20, X-07</t>
  </si>
  <si>
    <t xml:space="preserve">28 Sep 2026: Reported built (answers Q4). X-07.</t>
  </si>
  <si>
    <t xml:space="preserve">F21</t>
  </si>
  <si>
    <t xml:space="preserve">product_id</t>
  </si>
  <si>
    <t xml:space="preserve">Resolves to a product document.</t>
  </si>
  <si>
    <t xml:space="preserve">Which product</t>
  </si>
  <si>
    <t xml:space="preserve">F22</t>
  </si>
  <si>
    <t xml:space="preserve">quantity</t>
  </si>
  <si>
    <t xml:space="preserve">integer  ·  2</t>
  </si>
  <si>
    <t xml:space="preserve">Units in this action: added on add_to_cart, removed on remove_from_cart.</t>
  </si>
  <si>
    <t xml:space="preserve">Positive integer.</t>
  </si>
  <si>
    <t xml:space="preserve">Strength of intent</t>
  </si>
  <si>
    <t xml:space="preserve">28 Sep 2026: Reported built.</t>
  </si>
  <si>
    <t xml:space="preserve">F23</t>
  </si>
  <si>
    <t xml:space="preserve">order_id</t>
  </si>
  <si>
    <t xml:space="preserve">string  ·  6a48cb8237a8061b26eb067d</t>
  </si>
  <si>
    <t xml:space="preserve">Resolves to an order document, and reconciles one to one with orders created in the same window.</t>
  </si>
  <si>
    <t xml:space="preserve">Order identifier</t>
  </si>
  <si>
    <t xml:space="preserve">F24</t>
  </si>
  <si>
    <t xml:space="preserve">Copied from the cart line, or from product detail on a direct buy, onto the order and the event. Null when not from a list.</t>
  </si>
  <si>
    <t xml:space="preserve">Which recommendation led to the order. The single most valuable link in the register</t>
  </si>
  <si>
    <t xml:space="preserve">F24, X-07</t>
  </si>
  <si>
    <t xml:space="preserve">orders.request_id exists. The chain through the cart depends on F20.</t>
  </si>
  <si>
    <t xml:space="preserve">F25</t>
  </si>
  <si>
    <t xml:space="preserve">line_items</t>
  </si>
  <si>
    <t xml:space="preserve">array  ·  [{product_id, variant_id, qty, price, base_price}]</t>
  </si>
  <si>
    <t xml:space="preserve">One entry per order, because each order holds one product: product_id, variant_id, qty, price, base_price. orders.variant_id holds the same variant at the top level. Baskets are recovered with checkout_id.</t>
  </si>
  <si>
    <t xml:space="preserve">One entry on every order, matching the order's product.</t>
  </si>
  <si>
    <t xml:space="preserve">The product, variant, quantity and price on the order</t>
  </si>
  <si>
    <t xml:space="preserve">28 Sep 2026: variant_id reported fixed (answers Q11). The order wins over the event for the variant bought.</t>
  </si>
  <si>
    <t xml:space="preserve">F26</t>
  </si>
  <si>
    <t xml:space="preserve">promoter_id</t>
  </si>
  <si>
    <t xml:space="preserve">string  ·  6a3a6df8bac0b9eb430edc7c</t>
  </si>
  <si>
    <t xml:space="preserve">The author of the order's post_id, set at order write. Null when post_id is null. No separate promo field.</t>
  </si>
  <si>
    <t xml:space="preserve">Populated on orders with a post_id and empty on the rest.</t>
  </si>
  <si>
    <t xml:space="preserve">Which promoter, if the order came through a post</t>
  </si>
  <si>
    <t xml:space="preserve">F27</t>
  </si>
  <si>
    <t xml:space="preserve">order_value</t>
  </si>
  <si>
    <t xml:space="preserve">decimal  ·  2499.00</t>
  </si>
  <si>
    <t xml:space="preserve">The order's final amount after discount, read from orders.total_price and sent as order_value.</t>
  </si>
  <si>
    <t xml:space="preserve">Matches the order total on the operational record.</t>
  </si>
  <si>
    <t xml:space="preserve">Value, for ranking by revenue rather than click count</t>
  </si>
  <si>
    <t xml:space="preserve">The field is total_price, not totalAmount.</t>
  </si>
  <si>
    <t xml:space="preserve">F28</t>
  </si>
  <si>
    <t xml:space="preserve">datetime  ·  2026-11-04T09:22:10.500Z</t>
  </si>
  <si>
    <t xml:space="preserve">The order's creation time (orders.created_at), UTC with milliseconds.</t>
  </si>
  <si>
    <t xml:space="preserve">When the order was placed</t>
  </si>
  <si>
    <t xml:space="preserve">F29</t>
  </si>
  <si>
    <t xml:space="preserve">Which order changed</t>
  </si>
  <si>
    <t xml:space="preserve">F30</t>
  </si>
  <si>
    <t xml:space="preserve">status (tracking_info entry)</t>
  </si>
  <si>
    <t xml:space="preserve">enum  ·  Delivered</t>
  </si>
  <si>
    <t xml:space="preserve">The new status on each tracking_info entry: an order_status value (Pending, Accepted, Confirmed, Shipped, Payed Off, Delivered, Cancelled, Rejected, Return Requested, Returned).</t>
  </si>
  <si>
    <t xml:space="preserve">Every status an order passed through has an entry.</t>
  </si>
  <si>
    <t xml:space="preserve">One canonical state field, usable as an outcome</t>
  </si>
  <si>
    <t xml:space="preserve">F30, X-13</t>
  </si>
  <si>
    <t xml:space="preserve">29 Sep 2026: Build list APP-08.</t>
  </si>
  <si>
    <t xml:space="preserve">F31</t>
  </si>
  <si>
    <t xml:space="preserve">reason_code</t>
  </si>
  <si>
    <t xml:space="preserve">enum  ·  changed_mind</t>
  </si>
  <si>
    <t xml:space="preserve">Not required in Wave 1A: no scoring rule uses cancel reasons. Whatever exists (reason_code or the free-text reasons) is stored for investigation.</t>
  </si>
  <si>
    <t xml:space="preserve">Present on every Cancelled or Rejected change, null otherwise, and only values from the list.</t>
  </si>
  <si>
    <t xml:space="preserve">Why. Separates a product problem from a delivery problem</t>
  </si>
  <si>
    <t xml:space="preserve">29 Sep 2026: Build list DB-04 and APP-11 not needed.</t>
  </si>
  <si>
    <t xml:space="preserve">F32</t>
  </si>
  <si>
    <t xml:space="preserve">time (tracking_info entry)</t>
  </si>
  <si>
    <t xml:space="preserve">datetime  ·  2026-11-09T11:02:00Z</t>
  </si>
  <si>
    <t xml:space="preserve">The time on the tracking_info entry, written with the status change.</t>
  </si>
  <si>
    <t xml:space="preserve">Ordered correctly against the creation time, and reflects when the change happened.</t>
  </si>
  <si>
    <t xml:space="preserve">When the state changed, not when the record was written</t>
  </si>
  <si>
    <t xml:space="preserve">F33</t>
  </si>
  <si>
    <t xml:space="preserve">Deferred with E7.</t>
  </si>
  <si>
    <t xml:space="preserve">Which order</t>
  </si>
  <si>
    <t xml:space="preserve">F34</t>
  </si>
  <si>
    <t xml:space="preserve">new_state</t>
  </si>
  <si>
    <t xml:space="preserve">enum  ·  settled</t>
  </si>
  <si>
    <t xml:space="preserve">Every terminal state appears at least once. Reconcile counts by state against the orders collection.</t>
  </si>
  <si>
    <t xml:space="preserve">Settled, failed or charged back</t>
  </si>
  <si>
    <t xml:space="preserve">F35</t>
  </si>
  <si>
    <t xml:space="preserve">state_ts</t>
  </si>
  <si>
    <t xml:space="preserve">datetime  ·  2026-11-04T09:23:40Z</t>
  </si>
  <si>
    <t xml:space="preserve">Deferred with E7. When built, use Razorpay's own event time.</t>
  </si>
  <si>
    <t xml:space="preserve">When</t>
  </si>
  <si>
    <t xml:space="preserve">F36</t>
  </si>
  <si>
    <t xml:space="preserve">commission_id</t>
  </si>
  <si>
    <t xml:space="preserve">string  ·  6a4c0e11d2a3b4c5d6e7f801</t>
  </si>
  <si>
    <t xml:space="preserve">Deferred with E8.</t>
  </si>
  <si>
    <t xml:space="preserve">Resolves to a commission record.</t>
  </si>
  <si>
    <t xml:space="preserve">Commission record identifier</t>
  </si>
  <si>
    <t xml:space="preserve">F37</t>
  </si>
  <si>
    <t xml:space="preserve">Deferred with E8. When built, send influencer_id as promoter_id.</t>
  </si>
  <si>
    <t xml:space="preserve">Populated on every commission record.</t>
  </si>
  <si>
    <t xml:space="preserve">Which promoter earned it</t>
  </si>
  <si>
    <t xml:space="preserve">F38</t>
  </si>
  <si>
    <t xml:space="preserve">Which order it came from</t>
  </si>
  <si>
    <t xml:space="preserve">F39</t>
  </si>
  <si>
    <t xml:space="preserve">enum  ·  confirmed</t>
  </si>
  <si>
    <t xml:space="preserve">Deferred with E8. When built, add 'reversed'.</t>
  </si>
  <si>
    <t xml:space="preserve">Attributed, confirmed or reversed</t>
  </si>
  <si>
    <t xml:space="preserve">F40</t>
  </si>
  <si>
    <t xml:space="preserve">amount</t>
  </si>
  <si>
    <t xml:space="preserve">decimal  ·  249.90</t>
  </si>
  <si>
    <t xml:space="preserve">Deferred with E8. When built, send commission_amount as amount.</t>
  </si>
  <si>
    <t xml:space="preserve">Matches the commission on the operational record.</t>
  </si>
  <si>
    <t xml:space="preserve">Value earned</t>
  </si>
  <si>
    <t xml:space="preserve">F41</t>
  </si>
  <si>
    <t xml:space="preserve">datetime  ·  2026-11-20T00:00:00Z</t>
  </si>
  <si>
    <t xml:space="preserve">Deferred with E8. When built, add a timestamp for each transition.</t>
  </si>
  <si>
    <t xml:space="preserve">F42</t>
  </si>
  <si>
    <t xml:space="preserve">The person acting, on every action: the follower on follow, the reposter on repost.</t>
  </si>
  <si>
    <t xml:space="preserve">Who acted</t>
  </si>
  <si>
    <t xml:space="preserve">F43</t>
  </si>
  <si>
    <t xml:space="preserve">target_id</t>
  </si>
  <si>
    <t xml:space="preserve">string  ·  6a3a9c671eb704e99a97c6d3</t>
  </si>
  <si>
    <t xml:space="preserve">The post for like, save, share and repost (the original post on a repost); the followed account for follow. A separate item_model field says which kind of target it is.</t>
  </si>
  <si>
    <t xml:space="preserve">Resolves to the item or account acted on, matching item_model.</t>
  </si>
  <si>
    <t xml:space="preserve">What they acted on</t>
  </si>
  <si>
    <t xml:space="preserve">F44</t>
  </si>
  <si>
    <t xml:space="preserve">action</t>
  </si>
  <si>
    <t xml:space="preserve">enum  ·  save</t>
  </si>
  <si>
    <t xml:space="preserve">One of like, unlike, save, unsave, share, repost, follow, unfollow.</t>
  </si>
  <si>
    <t xml:space="preserve">All eight actions appear across a sample.</t>
  </si>
  <si>
    <t xml:space="preserve">What they did. An undo is its own event</t>
  </si>
  <si>
    <t xml:space="preserve">F45</t>
  </si>
  <si>
    <t xml:space="preserve">Set when the action happened on a card in a recommended list, otherwise null.</t>
  </si>
  <si>
    <t xml:space="preserve">Where they saw it, if it came from a recommended list</t>
  </si>
  <si>
    <t xml:space="preserve">F45, X-07</t>
  </si>
  <si>
    <t xml:space="preserve">F46</t>
  </si>
  <si>
    <t xml:space="preserve">datetime  ·  2026-11-04T09:16:05Z</t>
  </si>
  <si>
    <t xml:space="preserve">UTC with milliseconds at the write. For follow, the follow document's createdAt.</t>
  </si>
  <si>
    <t xml:space="preserve">F47</t>
  </si>
  <si>
    <t xml:space="preserve">opportunity_id</t>
  </si>
  <si>
    <t xml:space="preserve">string  ·  (deferred)</t>
  </si>
  <si>
    <t xml:space="preserve">Deferred with E10.</t>
  </si>
  <si>
    <t xml:space="preserve">Resolves to an opportunity record.</t>
  </si>
  <si>
    <t xml:space="preserve">Which opportunity</t>
  </si>
  <si>
    <t xml:space="preserve">F48</t>
  </si>
  <si>
    <t xml:space="preserve">Populated on every opportunity event.</t>
  </si>
  <si>
    <t xml:space="preserve">Which promoter</t>
  </si>
  <si>
    <t xml:space="preserve">F49</t>
  </si>
  <si>
    <t xml:space="preserve">campaign_id</t>
  </si>
  <si>
    <t xml:space="preserve">Deferred with E10 and D4.</t>
  </si>
  <si>
    <t xml:space="preserve">Blank until a campaign entity exists.</t>
  </si>
  <si>
    <t xml:space="preserve">Which campaign it belongs to</t>
  </si>
  <si>
    <t xml:space="preserve">F50</t>
  </si>
  <si>
    <t xml:space="preserve">enum  ·  completed</t>
  </si>
  <si>
    <t xml:space="preserve">Accepted, completed, withdrawn or expired</t>
  </si>
  <si>
    <t xml:space="preserve">F51</t>
  </si>
  <si>
    <t xml:space="preserve">datetime  ·  2026-11-12T08:00:00Z</t>
  </si>
  <si>
    <t xml:space="preserve">F52</t>
  </si>
  <si>
    <t xml:space="preserve">Deferred with E11.</t>
  </si>
  <si>
    <t xml:space="preserve">Who searched</t>
  </si>
  <si>
    <t xml:space="preserve">F53</t>
  </si>
  <si>
    <t xml:space="preserve">query_text</t>
  </si>
  <si>
    <t xml:space="preserve">string  ·  cotton kurta</t>
  </si>
  <si>
    <t xml:space="preserve">Present and not truncated.</t>
  </si>
  <si>
    <t xml:space="preserve">What they typed</t>
  </si>
  <si>
    <t xml:space="preserve">F54</t>
  </si>
  <si>
    <t xml:space="preserve">result_count</t>
  </si>
  <si>
    <t xml:space="preserve">integer  ·  23</t>
  </si>
  <si>
    <t xml:space="preserve">Matches the number of results returned.</t>
  </si>
  <si>
    <t xml:space="preserve">Zero-result searches show unmet demand</t>
  </si>
  <si>
    <t xml:space="preserve">F55</t>
  </si>
  <si>
    <t xml:space="preserve">datetime  ·  2026-11-04T09:10:00Z</t>
  </si>
  <si>
    <t xml:space="preserve">F56</t>
  </si>
  <si>
    <t xml:space="preserve">anonymous_id</t>
  </si>
  <si>
    <t xml:space="preserve">string  ·  (closed)</t>
  </si>
  <si>
    <t xml:space="preserve">Closed with E12: login is required, so there is nothing to stitch.</t>
  </si>
  <si>
    <t xml:space="preserve">The pre-login identifier</t>
  </si>
  <si>
    <t xml:space="preserve">F57</t>
  </si>
  <si>
    <t xml:space="preserve">The account it was linked to</t>
  </si>
  <si>
    <t xml:space="preserve">F58</t>
  </si>
  <si>
    <t xml:space="preserve">stitch_ts</t>
  </si>
  <si>
    <t xml:space="preserve">datetime  ·  2026-11-04T09:14:00Z</t>
  </si>
  <si>
    <t xml:space="preserve">When the link was made</t>
  </si>
  <si>
    <t xml:space="preserve">F59</t>
  </si>
  <si>
    <t xml:space="preserve">checkout_id</t>
  </si>
  <si>
    <t xml:space="preserve">string  ·  9b2e4c61-3f8a-4d17-a5b2-0c9d8e7f6a51</t>
  </si>
  <si>
    <t xml:space="preserve">Generated at checkout before the orders are created, and written on every order from that checkout.</t>
  </si>
  <si>
    <t xml:space="preserve">Place a basket of three products: the three orders share one checkout_id and no other order shares it.</t>
  </si>
  <si>
    <t xml:space="preserve">Links orders placed together. Each product becomes its own order, so without it baskets cannot be recovered</t>
  </si>
  <si>
    <t xml:space="preserve">F59, D3</t>
  </si>
  <si>
    <t xml:space="preserve">28 Sep 2026: Reported built for cart and Buy now (answers Q5): the checkout_start row, every order and every purchase row share it. Basket-of-three check (APP-22) still to run.</t>
  </si>
  <si>
    <t xml:space="preserve">F60</t>
  </si>
  <si>
    <t xml:space="preserve">The person giving the feedback. The event is rejected without it.</t>
  </si>
  <si>
    <t xml:space="preserve">Who gave the feedback</t>
  </si>
  <si>
    <t xml:space="preserve">F60, X-12</t>
  </si>
  <si>
    <t xml:space="preserve">F61</t>
  </si>
  <si>
    <t xml:space="preserve">The post, product or author the feedback is about.</t>
  </si>
  <si>
    <t xml:space="preserve">Resolves to a post, product or user document matching target_type.</t>
  </si>
  <si>
    <t xml:space="preserve">What was rejected</t>
  </si>
  <si>
    <t xml:space="preserve">F61, X-12</t>
  </si>
  <si>
    <t xml:space="preserve">F62</t>
  </si>
  <si>
    <t xml:space="preserve">target_type</t>
  </si>
  <si>
    <t xml:space="preserve">enum  ·  post</t>
  </si>
  <si>
    <t xml:space="preserve">One of post, product, author.</t>
  </si>
  <si>
    <t xml:space="preserve">Values are only post, product or author.</t>
  </si>
  <si>
    <t xml:space="preserve">What kind of target it is</t>
  </si>
  <si>
    <t xml:space="preserve">F62, X-12</t>
  </si>
  <si>
    <t xml:space="preserve">F63</t>
  </si>
  <si>
    <t xml:space="preserve">feedback_type</t>
  </si>
  <si>
    <t xml:space="preserve">enum  ·  not_interested</t>
  </si>
  <si>
    <t xml:space="preserve">One of not_interested, hide, report, mute_author.</t>
  </si>
  <si>
    <t xml:space="preserve">Values are only the four listed.</t>
  </si>
  <si>
    <t xml:space="preserve">What the user chose</t>
  </si>
  <si>
    <t xml:space="preserve">F63, X-12</t>
  </si>
  <si>
    <t xml:space="preserve">F64</t>
  </si>
  <si>
    <t xml:space="preserve">Set when the card was in a recommended list, otherwise null.</t>
  </si>
  <si>
    <t xml:space="preserve">Links the feedback to the list that showed the card</t>
  </si>
  <si>
    <t xml:space="preserve">F64, X-07</t>
  </si>
  <si>
    <t xml:space="preserve">F65</t>
  </si>
  <si>
    <t xml:space="preserve">datetime  ·  2026-11-04T09:16:05.000Z</t>
  </si>
  <si>
    <t xml:space="preserve">UTC with milliseconds at receipt.</t>
  </si>
  <si>
    <t xml:space="preserve">F65, X-12</t>
  </si>
  <si>
    <t xml:space="preserve">F66</t>
  </si>
  <si>
    <t xml:space="preserve">All events</t>
  </si>
  <si>
    <t xml:space="preserve">event_id</t>
  </si>
  <si>
    <t xml:space="preserve">string · act_1790570795035522_17f6d6f8:add_to_cart</t>
  </si>
  <si>
    <t xml:space="preserve">Must</t>
  </si>
  <si>
    <t xml:space="preserve">Both</t>
  </si>
  <si>
    <t xml:space="preserve">postevents.event_id, kept as an opaque string: the app's id on app events, &lt;action key&gt;:&lt;event type&gt; on server actions. The de-duplication key (unique partial index).</t>
  </si>
  <si>
    <t xml:space="preserve">Every event has one, and no two different events share one.</t>
  </si>
  <si>
    <t xml:space="preserve">Without it a retry is stored twice.</t>
  </si>
  <si>
    <t xml:space="preserve">E-envelope</t>
  </si>
  <si>
    <t xml:space="preserve">28 Sep 2026: Not UUID v4 (API contract v2.4). Reported built (answers Q1).</t>
  </si>
  <si>
    <t xml:space="preserve">F67</t>
  </si>
  <si>
    <t xml:space="preserve">event_name</t>
  </si>
  <si>
    <t xml:space="preserve">string · add_to_cart</t>
  </si>
  <si>
    <t xml:space="preserve">postevents.event_type, mapped to the E codes on sheet 4.</t>
  </si>
  <si>
    <t xml:space="preserve">Only listed names appear.</t>
  </si>
  <si>
    <t xml:space="preserve">The engine routes on it.</t>
  </si>
  <si>
    <t xml:space="preserve">F68</t>
  </si>
  <si>
    <t xml:space="preserve">datetime, UTC ISO 8601 with milliseconds</t>
  </si>
  <si>
    <t xml:space="preserve">postevents.created_at, UTC with milliseconds: when it happened. updated_at (F74) is separate.</t>
  </si>
  <si>
    <t xml:space="preserve">Present on every event; never in the future.</t>
  </si>
  <si>
    <t xml:space="preserve">Every window and rolling measure uses it.</t>
  </si>
  <si>
    <t xml:space="preserve">F69</t>
  </si>
  <si>
    <t xml:space="preserve">served_items</t>
  </si>
  <si>
    <t xml:space="preserve">array of {item_id, item_type, post_id, product_id, position}</t>
  </si>
  <si>
    <t xml:space="preserve">The items actually returned by the service, with their positions, exactly as returned.</t>
  </si>
  <si>
    <t xml:space="preserve">Length equals the number of items in the response.</t>
  </si>
  <si>
    <t xml:space="preserve">Unseen items are derived from it.</t>
  </si>
  <si>
    <t xml:space="preserve">F70</t>
  </si>
  <si>
    <t xml:space="preserve">config_version</t>
  </si>
  <si>
    <t xml:space="preserve">string</t>
  </si>
  <si>
    <t xml:space="preserve">The settings version in force for the request.</t>
  </si>
  <si>
    <t xml:space="preserve">Present on every E1.</t>
  </si>
  <si>
    <t xml:space="preserve">Ties a list back to the settings that produced it.</t>
  </si>
  <si>
    <t xml:space="preserve">F71</t>
  </si>
  <si>
    <t xml:space="preserve">slot_methods</t>
  </si>
  <si>
    <t xml:space="preserve">array of {slot, method, fallback_step}</t>
  </si>
  <si>
    <t xml:space="preserve">For each slot the request touched: the method intended, and the fallback step used if any.</t>
  </si>
  <si>
    <t xml:space="preserve">Present on every E1, one entry per slot touched.</t>
  </si>
  <si>
    <t xml:space="preserve">The only record of which method served a user.</t>
  </si>
  <si>
    <t xml:space="preserve">F72</t>
  </si>
  <si>
    <t xml:space="preserve">scored_not_served</t>
  </si>
  <si>
    <t xml:space="preserve">array of {item_id, score}</t>
  </si>
  <si>
    <t xml:space="preserve">Should</t>
  </si>
  <si>
    <t xml:space="preserve">A sample of scored items that were not returned: 10% at random, plus all returned items, plus everything on exploration lists.</t>
  </si>
  <si>
    <t xml:space="preserve">Present on about 10% of E1 rows, and on every exploration row.</t>
  </si>
  <si>
    <t xml:space="preserve">Needed to measure what the engine passed over.</t>
  </si>
  <si>
    <t xml:space="preserve">F73</t>
  </si>
  <si>
    <t xml:space="preserve">Post view (postevents)</t>
  </si>
  <si>
    <t xml:space="preserve">view_key</t>
  </si>
  <si>
    <t xml:space="preserve">Deprecated. session_id holds the ses_ session id, and one view per viewer per post is enforced by the unique index uniq_view_per_user_post.</t>
  </si>
  <si>
    <t xml:space="preserve">Present on view events; session_id now holds the ses_ session id instead.</t>
  </si>
  <si>
    <t xml:space="preserve">Keeps the old per-view key without overloading session_id.</t>
  </si>
  <si>
    <t xml:space="preserve">X-14</t>
  </si>
  <si>
    <t xml:space="preserve">28 Sep 2026: Closed, kept for history.</t>
  </si>
  <si>
    <t xml:space="preserve">F74</t>
  </si>
  <si>
    <t xml:space="preserve">All platform rows</t>
  </si>
  <si>
    <t xml:space="preserve">updated_at</t>
  </si>
  <si>
    <t xml:space="preserve">datetime · 2026-09-28T04:46:36.805Z</t>
  </si>
  <si>
    <t xml:space="preserve">Set on insert and moved on every change, on every write path, on postevents, orders and recommendationrequests (and posts, users, businessregisters from DB-14). Indexed.</t>
  </si>
  <si>
    <t xml:space="preserve">A like undone, an order cancelled and a served list whose seen_ids fill in each move it.</t>
  </si>
  <si>
    <t xml:space="preserve">The engine sync reads by it (X-02).</t>
  </si>
  <si>
    <t xml:space="preserve">X-02</t>
  </si>
  <si>
    <t xml:space="preserve">Added 28 Sep 2026: reported built for the three collections (answers Q2).</t>
  </si>
  <si>
    <t xml:space="preserve">F75</t>
  </si>
  <si>
    <t xml:space="preserve">E1, E2, E3</t>
  </si>
  <si>
    <t xml:space="preserve">post_id, product_id</t>
  </si>
  <si>
    <t xml:space="preserve">string · 6ab9f12a4abf7253e2b16879</t>
  </si>
  <si>
    <t xml:space="preserve">Kept alongside item_id on every served item and every impression and click: the post (or null) and the product the card shows (or null).</t>
  </si>
  <si>
    <t xml:space="preserve">An impression on a product post joins to both the post and the product.</t>
  </si>
  <si>
    <t xml:space="preserve">Joins an event to the exact card and its product.</t>
  </si>
  <si>
    <t xml:space="preserve">X-16</t>
  </si>
  <si>
    <t xml:space="preserve">Added 28 Sep 2026: </t>
  </si>
  <si>
    <t xml:space="preserve">F76</t>
  </si>
  <si>
    <t xml:space="preserve">Delivered-list record</t>
  </si>
  <si>
    <t xml:space="preserve">engine_position</t>
  </si>
  <si>
    <t xml:space="preserve">integer · 3</t>
  </si>
  <si>
    <t xml:space="preserve">Not needed: engine lists are shown unchanged (X-17).</t>
  </si>
  <si>
    <t xml:space="preserve">Every delivered and dropped item has one; shown positions run 1 to n.</t>
  </si>
  <si>
    <t xml:space="preserve">Maps displayed positions back to the engine's list.</t>
  </si>
  <si>
    <t xml:space="preserve">X-06, X-17</t>
  </si>
  <si>
    <t xml:space="preserve">29 Sep 2026: Closed.</t>
  </si>
  <si>
    <t xml:space="preserve">F77</t>
  </si>
  <si>
    <t xml:space="preserve">undo_of, undone_at</t>
  </si>
  <si>
    <t xml:space="preserve">ObjectId · 6ab9f12b4abf7253e2b168a2</t>
  </si>
  <si>
    <t xml:space="preserve">undo_of on an undo row: the _id of the row it cancels. undone_at on the original: when it was cancelled. Nothing is deleted.</t>
  </si>
  <si>
    <t xml:space="preserve">Unlike, unsave, uncomment, unfollow and wishlist_remove each point at their original.</t>
  </si>
  <si>
    <t xml:space="preserve">The engine and fraud rules read the full history.</t>
  </si>
  <si>
    <t xml:space="preserve">X-18</t>
  </si>
  <si>
    <t xml:space="preserve">Added 28 Sep 2026: reported built (answers Q2, Q12).</t>
  </si>
  <si>
    <t xml:space="preserve">F78</t>
  </si>
  <si>
    <t xml:space="preserve">orders</t>
  </si>
  <si>
    <t xml:space="preserve">return_info.requested_at, return_info.return_type</t>
  </si>
  <si>
    <t xml:space="preserve">datetime; enum · quality</t>
  </si>
  <si>
    <t xml:space="preserve">Not needed: returns are read from order_status Return Requested.</t>
  </si>
  <si>
    <t xml:space="preserve">Every Returned order has requested_at.</t>
  </si>
  <si>
    <t xml:space="preserve">Tells a pending return request from a completed return.</t>
  </si>
  <si>
    <t xml:space="preserve">D1</t>
  </si>
  <si>
    <t xml:space="preserve">Added 28 Sep 2026: Build list DB-03, APP-10.</t>
  </si>
  <si>
    <t xml:space="preserve">F79</t>
  </si>
  <si>
    <t xml:space="preserve">postevents, orders, carts</t>
  </si>
  <si>
    <t xml:space="preserve">user_model / userModel</t>
  </si>
  <si>
    <t xml:space="preserve">enum · businessRegister</t>
  </si>
  <si>
    <t xml:space="preserve">user or businessRegister: which collection the actor id belongs to.</t>
  </si>
  <si>
    <t xml:space="preserve">Every row has it.</t>
  </si>
  <si>
    <t xml:space="preserve">Business accounts act too.</t>
  </si>
  <si>
    <t xml:space="preserve">F80</t>
  </si>
  <si>
    <t xml:space="preserve">Serve log (rec_serve_log)</t>
  </si>
  <si>
    <t xml:space="preserve">request_id, user_id, surface, page, origin, outcome, elapsed_ms, at</t>
  </si>
  <si>
    <t xml:space="preserve">origin: engine | fallback | cache; outcome: ok | timeout | error | off | skipped</t>
  </si>
  <si>
    <t xml:space="preserve">One row per list request, written by SOCO_BE.</t>
  </si>
  <si>
    <t xml:space="preserve">One row per request, with the right origin and outcome when the engine is up, stopped and switched off.</t>
  </si>
  <si>
    <t xml:space="preserve">The fallback rate and the speed seen by SOCO_BE are measured from it.</t>
  </si>
  <si>
    <t xml:space="preserve">X-17</t>
  </si>
  <si>
    <t xml:space="preserve">Added 29 Sep 2026: Build list APP-15.</t>
  </si>
  <si>
    <t xml:space="preserve">Changes to the database itself rather than to an event.</t>
  </si>
  <si>
    <t xml:space="preserve">Item</t>
  </si>
  <si>
    <t xml:space="preserve">What is needed</t>
  </si>
  <si>
    <t xml:space="preserve">Consequence if not done</t>
  </si>
  <si>
    <t xml:space="preserve">Return capture on the order</t>
  </si>
  <si>
    <t xml:space="preserve">Nothing to build. Return Requested (set by the existing button) is read as returned.</t>
  </si>
  <si>
    <t xml:space="preserve">A returned order looks like a successful one, and every commerce label counts returns as sales.</t>
  </si>
  <si>
    <t xml:space="preserve">28 Sep 2026: Changed to the platform's return_info structure. Build list DB-03, APP-10.</t>
  </si>
  <si>
    <t xml:space="preserve">D2</t>
  </si>
  <si>
    <t xml:space="preserve">One canonical order status</t>
  </si>
  <si>
    <t xml:space="preserve">order_status is authoritative. The only remaining action is X-13.</t>
  </si>
  <si>
    <t xml:space="preserve">No agreed definition of a successful order.</t>
  </si>
  <si>
    <t xml:space="preserve">D2, X-13</t>
  </si>
  <si>
    <t xml:space="preserve">The remaining action is APP-09.</t>
  </si>
  <si>
    <t xml:space="preserve">D3</t>
  </si>
  <si>
    <t xml:space="preserve">Shared checkout identifier</t>
  </si>
  <si>
    <t xml:space="preserve">checkout_id on every order from one checkout. Verified as F59.</t>
  </si>
  <si>
    <t xml:space="preserve">Items bought together cannot be identified, so the co-purchase method cannot be built.</t>
  </si>
  <si>
    <t xml:space="preserve">D3, F59</t>
  </si>
  <si>
    <t xml:space="preserve">Basket-of-three check still to run.</t>
  </si>
  <si>
    <t xml:space="preserve">D4</t>
  </si>
  <si>
    <t xml:space="preserve">Campaign entity</t>
  </si>
  <si>
    <t xml:space="preserve">Deferred with Engine C.</t>
  </si>
  <si>
    <t xml:space="preserve">Campaigns cannot be measured or attributed.</t>
  </si>
  <si>
    <t xml:space="preserve">D5</t>
  </si>
  <si>
    <t xml:space="preserve">Promoter and influencer as account states</t>
  </si>
  <si>
    <t xml:space="preserve">Not needed under the promoter continuum. The engine keeps the score and its history.</t>
  </si>
  <si>
    <t xml:space="preserve">Not needed: the promoter score is a continuum.</t>
  </si>
  <si>
    <t xml:space="preserve">D6</t>
  </si>
  <si>
    <t xml:space="preserve">Timestamped social interactions</t>
  </si>
  <si>
    <t xml:space="preserve">Closed by E9: each interaction is its own timestamped event. Counters on posts stay as they are.</t>
  </si>
  <si>
    <t xml:space="preserve">D6, E9</t>
  </si>
  <si>
    <t xml:space="preserve">D7</t>
  </si>
  <si>
    <t xml:space="preserve">Stable identifiers</t>
  </si>
  <si>
    <t xml:space="preserve">MongoDB ids are never reused.</t>
  </si>
  <si>
    <t xml:space="preserve">User and item histories fragment silently.</t>
  </si>
  <si>
    <t xml:space="preserve">MongoDB ids are never reused, so nothing to build.</t>
  </si>
  <si>
    <t xml:space="preserve">D8</t>
  </si>
  <si>
    <t xml:space="preserve">Raw event retention</t>
  </si>
  <si>
    <t xml:space="preserve">Aravinth; Allen for ml_events</t>
  </si>
  <si>
    <t xml:space="preserve">Platform: 90-day expiry on short-lived postevents types and on recommendationrequests; other postevents types kept. Engine: copies kept at least 365 days from the event time, under the engine's own expiry (X-08). userevents marked deprecated in code.</t>
  </si>
  <si>
    <t xml:space="preserve">Training windows are truncated and seasonal patterns cannot be learned.</t>
  </si>
  <si>
    <t xml:space="preserve">D8, X-08</t>
  </si>
  <si>
    <t xml:space="preserve">28 Sep 2026: Replaces the platform-side 365-day raise. Build list DB-01, ENG-04.</t>
  </si>
  <si>
    <t xml:space="preserve">D9</t>
  </si>
  <si>
    <t xml:space="preserve">Purchase privacy for incognito orders</t>
  </si>
  <si>
    <t xml:space="preserve">Aravinth; Allen for the order filter</t>
  </si>
  <si>
    <t xml:space="preserve">As X-09: everything is recorded; a buyer's identity from an incognito order is never shown to anyone else.</t>
  </si>
  <si>
    <t xml:space="preserve">A buyer's private purchase is shown to their followers.</t>
  </si>
  <si>
    <t xml:space="preserve">D9, X-09</t>
  </si>
  <si>
    <t xml:space="preserve">28 Sep 2026: Product Owner decision. Build list APP-04.</t>
  </si>
  <si>
    <t xml:space="preserve">D10</t>
  </si>
  <si>
    <t xml:space="preserve">Change time on posts and accounts</t>
  </si>
  <si>
    <t xml:space="preserve">Not needed: the engine re-reads posts, accounts and products in full, and re-checks returned items when each list is built (build list ENG-27, ENG-08).</t>
  </si>
  <si>
    <t xml:space="preserve">A deranked, hidden or private post, or an inactive account, can keep being recommended until the next full re-read.</t>
  </si>
  <si>
    <t xml:space="preserve">29 Sep 2026: Build list DB-14 not needed.</t>
  </si>
  <si>
    <t xml:space="preserve">D11</t>
  </si>
  <si>
    <t xml:space="preserve">Deleted-accounts log</t>
  </si>
  <si>
    <t xml:space="preserve">Not needed: the engine detects deleted accounts itself, with confirmation (build list ENG-28).</t>
  </si>
  <si>
    <t xml:space="preserve">A deleted account's data stays in the engine.</t>
  </si>
  <si>
    <t xml:space="preserve">29 Sep 2026: Build list DB-15 not needed.</t>
  </si>
  <si>
    <t xml:space="preserve">D12</t>
  </si>
  <si>
    <t xml:space="preserve">Order history</t>
  </si>
  <si>
    <t xml:space="preserve">tracking_info on the order (existing): one entry per status change, with the time and who acted. Entries are added only where a code path writes none (build list APP-08).</t>
  </si>
  <si>
    <t xml:space="preserve">Order history and who cancelled cannot be read reliably.</t>
  </si>
  <si>
    <t xml:space="preserve">D12, E6</t>
  </si>
  <si>
    <t xml:space="preserve">29 Sep 2026: Replaces the new status log.</t>
  </si>
  <si>
    <t xml:space="preserve">Rules</t>
  </si>
  <si>
    <t xml:space="preserve">Standing rules that apply across many rows. Rows point here in the Decided in column.</t>
  </si>
  <si>
    <t xml:space="preserve">Ref</t>
  </si>
  <si>
    <t xml:space="preserve">Rule</t>
  </si>
  <si>
    <t xml:space="preserve">What it says</t>
  </si>
  <si>
    <t xml:space="preserve">X-01</t>
  </si>
  <si>
    <t xml:space="preserve">Owner of client-side events</t>
  </si>
  <si>
    <t xml:space="preserve">Aravinth owns E2, E3 and E13, as the contact for the Flutter app.</t>
  </si>
  <si>
    <t xml:space="preserve">One event path</t>
  </si>
  <si>
    <t xml:space="preserve">Every event is recorded once, in the platform database: the app sends E2, E3 and E13 to SOCO_BE POST /events in batches, and SOCO_BE records its own actions and orders (postevents, orders, recommendationrequests). The engine reads them with its sync by updated_at (build list ENG-04) and never receives events directly. POST /v1/events and forwarding are retired. The older collections move into postevents in the production migration (DB-16).</t>
  </si>
  <si>
    <t xml:space="preserve">Aravinth (records); Allen (sync)</t>
  </si>
  <si>
    <t xml:space="preserve">28 Sep 2026: Changed from forwarding to the engine sync.</t>
  </si>
  <si>
    <t xml:space="preserve">X-03</t>
  </si>
  <si>
    <t xml:space="preserve">Every feed list emits events</t>
  </si>
  <si>
    <t xml:space="preserve">Every list on the feed and product surfaces produces the events, whether the engine or the fallback produced it. Fallback lists keep the platform's policy_id and their recommendationrequests row. SOCO_BE writes one rec_serve_log row per list request (F80).</t>
  </si>
  <si>
    <t xml:space="preserve">29 Sep 2026: Delivered-list record removed.</t>
  </si>
  <si>
    <t xml:space="preserve">X-04</t>
  </si>
  <si>
    <t xml:space="preserve">Seen, and a qualified view</t>
  </si>
  <si>
    <t xml:space="preserve">Seen means at least 50% of the item is on screen, for every media type. A qualified view is seen and on screen for at least 3,000 ms. Video play and pause thresholds are separate.</t>
  </si>
  <si>
    <t xml:space="preserve">X-05</t>
  </si>
  <si>
    <t xml:space="preserve">When an impression is sent</t>
  </si>
  <si>
    <t xml:space="preserve">One impression per item per list, sent on leave or app background, with dwell_ms for the first spell. Not resent in the same list. Unseen items are not sent; they come from served_items and seen_ids. Post-page (post_detail) impressions are page visits, not card impressions.</t>
  </si>
  <si>
    <t xml:space="preserve">X-06</t>
  </si>
  <si>
    <t xml:space="preserve">Position numbering</t>
  </si>
  <si>
    <t xml:space="preserve">Position counts from 1, in on-screen order, within each request, with no gaps. Each page is its own request. 0 is invalid. SOCO_BE shows engine lists unchanged.</t>
  </si>
  <si>
    <t xml:space="preserve">29 Sep 2026: engine_position removed.</t>
  </si>
  <si>
    <t xml:space="preserve">X-07</t>
  </si>
  <si>
    <t xml:space="preserve">How request_id travels</t>
  </si>
  <si>
    <t xml:space="preserve">request_id travels with the item: card → product detail → cart item → order. The cart item keeps the list that first added it (carts.ml); quantity changes, removal and an order without context carry that list; a re-add from another list is credited to that list. Any action not reached from a served list carries null. This is attribution only; commission rules are separate.</t>
  </si>
  <si>
    <t xml:space="preserve">28 Sep 2026: Adopted as built (answers Q4).</t>
  </si>
  <si>
    <t xml:space="preserve">X-08</t>
  </si>
  <si>
    <t xml:space="preserve">Retention of raw events</t>
  </si>
  <si>
    <t xml:space="preserve">Platform: 90-day expiry on short-lived postevents types (impression, click, product_view, video_play, video_complete, search, variant_select, checkout_start) and on recommendationrequests; other types kept. Engine: copies kept at least 365 days from the event time, under its own expiry, which the platform expiry never touches. Routine expiry is not account deletion (build list DB-15, ENG-28).</t>
  </si>
  <si>
    <t xml:space="preserve">Aravinth; Allen for engine copies</t>
  </si>
  <si>
    <t xml:space="preserve">28 Sep 2026: Replaces the platform-side 365-day raise.</t>
  </si>
  <si>
    <t xml:space="preserve">X-09</t>
  </si>
  <si>
    <t xml:space="preserve">Incognito</t>
  </si>
  <si>
    <t xml:space="preserve">Incognito is purchase privacy only. Events, served lists and orders are recorded as normal (isIncognitoMode true on the order). The buyer's own recommendations and anonymous totals may use incognito orders. A buyer's identity from an incognito order is never shown to anyone else; an order with no value is treated as incognito for displays that name buyers. Fraud rules read incognito orders.</t>
  </si>
  <si>
    <t xml:space="preserve">Aravinth; Allen for engine outputs</t>
  </si>
  <si>
    <t xml:space="preserve">X-10</t>
  </si>
  <si>
    <t xml:space="preserve">App session identifier</t>
  </si>
  <si>
    <t xml:space="preserve">One app session id, minted by the app's SessionService (ses_…), kept across restarts, new after 30 minutes or more away (background or closed), and not expiring during use. user_sessions is the login record and is not this identifier.</t>
  </si>
  <si>
    <t xml:space="preserve">28 Sep 2026: Reported built; device check in build list APP-01.</t>
  </si>
  <si>
    <t xml:space="preserve">X-11</t>
  </si>
  <si>
    <t xml:space="preserve">Launch surfaces</t>
  </si>
  <si>
    <t xml:space="preserve">Wave 1A surfaces are feed (the home feed) and product (product detail and cart). No opportunity surface. If both cannot launch together, feed goes first.</t>
  </si>
  <si>
    <t xml:space="preserve">Content feedback event</t>
  </si>
  <si>
    <t xml:space="preserve">E13 content_feedback is sent on not interested, hide, report or mute author. Fields F60 to F65.</t>
  </si>
  <si>
    <t xml:space="preserve">X-13</t>
  </si>
  <si>
    <t xml:space="preserve">One order status field</t>
  </si>
  <si>
    <t xml:space="preserve">E6 reads order_status only. When order_status becomes Delivered, seller_delivery_status is written in the same save. Other status fields stay for operations and are not read by the engine.</t>
  </si>
  <si>
    <t xml:space="preserve">Built by APP-09. order_status has no transition guard, so the engine never assumes states arrive in order.</t>
  </si>
  <si>
    <t xml:space="preserve">Attribution fields on postevents</t>
  </si>
  <si>
    <t xml:space="preserve">Fields on postevents that are filled only on some event types:
- product_id and variant_id: product events and product posts.
- order_id and checkout_id: purchase rows (checkout_id also on checkout_start).
- session_id: every row, the app session id (X-10).
- dwell_ms: impressions (first spell), views (longest watch or time on the post page) and product_view. It replaces view_duration_seconds.
- referral_code: not filled in Wave 1A.
- viewer_city, viewer_gender, viewer_district, viewer_is_business: stamped on view rows by the platform for Influencer Analytics. The engine does not use them; it reads demographics from the user record.</t>
  </si>
  <si>
    <t xml:space="preserve">28 Sep 2026: Updated to the platform schema reference v4.</t>
  </si>
  <si>
    <t xml:space="preserve">X-15</t>
  </si>
  <si>
    <t xml:space="preserve">Exploration slice</t>
  </si>
  <si>
    <t xml:space="preserve">is_exploration on an engine list is set by the service on 5% of feed requests and copied by the app. The platform's own is_exploration flag (about 10% of discovery posts on its lists) is a different thing and is never set on an engine list. There is no shadow mode.</t>
  </si>
  <si>
    <t xml:space="preserve">Item adapter</t>
  </si>
  <si>
    <t xml:space="preserve">The engine returns items in the shape the app already uses. On the feed, a post card showing a product keeps its post id as item_id, with item_type as the app expects; product rails carry product ids. Every served item, impression and click also carries post_id and product_id as separate fields, so a post id is never read as a product id. The actor's collection comes from user_model / userModel. The sync reads platform lists with the same mapping.</t>
  </si>
  <si>
    <t xml:space="preserve">29 Sep 2026: Build list ENG-29.</t>
  </si>
  <si>
    <t xml:space="preserve">Engine lists shown unchanged</t>
  </si>
  <si>
    <t xml:space="preserve">SOCO_BE shows engine lists exactly as returned: no filtering, re-ordering, trimming or added items. The engine applies eligibility and re-checks the returned items when each list is built. SOCO_BE writes one rec_serve_log row per list request (F80).</t>
  </si>
  <si>
    <t xml:space="preserve">29 Sep 2026: Replaces dropping and the delivered-list record. Build list APP-15.</t>
  </si>
  <si>
    <t xml:space="preserve">Undo, own posts and order outcomes</t>
  </si>
  <si>
    <t xml:space="preserve">Nothing is deleted: an undo row carries undo_of and the original gets undone_at. is_self marks the author acting on their own post. Each model applies its own rule; nothing is filtered globally. An order's outcome is read from the order (order_status and tracking_info), not from the purchase row alone. A return is an order that reached Return Requested or Returned.</t>
  </si>
  <si>
    <t xml:space="preserve">29 Sep 2026: Order history from tracking_info.</t>
  </si>
  <si>
    <t xml:space="preserve">X-19</t>
  </si>
  <si>
    <t xml:space="preserve">Blocks</t>
  </si>
  <si>
    <t xml:space="preserve">Blocks are read from followers (status blocked), in either direction, for user and business accounts, when each list is built (build list ENG-08). No blocks collection is added. Build list APP-21 test 3 checks blocking end to end.</t>
  </si>
  <si>
    <t xml:space="preserve">Added 29 Sep 2026: </t>
  </si>
  <si>
    <t xml:space="preserve">X-20</t>
  </si>
  <si>
    <t xml:space="preserve">Category map</t>
  </si>
  <si>
    <t xml:space="preserve">The platform's categories are mapped to the 23 in the engine's settings. Every category in use must be mapped; unmapped categories are reported daily and left out of category scoring until mapped (build list ENG-29). The category tree is not restructured.</t>
  </si>
  <si>
    <t xml:space="preserve">X-21</t>
  </si>
  <si>
    <t xml:space="preserve">Exemptions and test accounts</t>
  </si>
  <si>
    <t xml:space="preserve">Kept in the engine's settings, each entry with the account, the reason, an expiry and who changed it; every change is logged. Exempt accounts are flagged but never actioned. Test accounts are left out of learning, measurement and fraud (build list ENG-29).</t>
  </si>
  <si>
    <t xml:space="preserve">Native event map</t>
  </si>
  <si>
    <t xml:space="preserve">The platform's 26 postevents types, and where each one sits in this register. Scored = used by a Wave 1A model. Capture only = copied by the engine and kept, no model weight (adding one needs its own specification).</t>
  </si>
  <si>
    <t xml:space="preserve">event_type</t>
  </si>
  <si>
    <t xml:space="preserve">E code</t>
  </si>
  <si>
    <t xml:space="preserve">Scored in Wave 1A</t>
  </si>
  <si>
    <t xml:space="preserve">Written by</t>
  </si>
  <si>
    <t xml:space="preserve">impression</t>
  </si>
  <si>
    <t xml:space="preserve">Measurement only (M1 does not use impressions)</t>
  </si>
  <si>
    <t xml:space="preserve">App</t>
  </si>
  <si>
    <t xml:space="preserve">post_detail impressions are page visits (X-05)</t>
  </si>
  <si>
    <t xml:space="preserve">click</t>
  </si>
  <si>
    <t xml:space="preserve">M1</t>
  </si>
  <si>
    <t xml:space="preserve">product_click</t>
  </si>
  <si>
    <t xml:space="preserve">Server</t>
  </si>
  <si>
    <t xml:space="preserve">Older builds</t>
  </si>
  <si>
    <t xml:space="preserve">view</t>
  </si>
  <si>
    <t xml:space="preserve">M1 qualified view when dwell_ms ≥ 3,000</t>
  </si>
  <si>
    <t xml:space="preserve">One per viewer per post</t>
  </si>
  <si>
    <t xml:space="preserve">like</t>
  </si>
  <si>
    <t xml:space="preserve">unlike</t>
  </si>
  <si>
    <t xml:space="preserve">M1 (removes the like)</t>
  </si>
  <si>
    <t xml:space="preserve">undo_of the like</t>
  </si>
  <si>
    <t xml:space="preserve">comment</t>
  </si>
  <si>
    <t xml:space="preserve">uncomment</t>
  </si>
  <si>
    <t xml:space="preserve">M1 (removes the comment)</t>
  </si>
  <si>
    <t xml:space="preserve">undo_of the comment</t>
  </si>
  <si>
    <t xml:space="preserve">share</t>
  </si>
  <si>
    <t xml:space="preserve">save</t>
  </si>
  <si>
    <t xml:space="preserve">unsave</t>
  </si>
  <si>
    <t xml:space="preserve">M1 (removes the save)</t>
  </si>
  <si>
    <t xml:space="preserve">undo_of the save</t>
  </si>
  <si>
    <t xml:space="preserve">repost</t>
  </si>
  <si>
    <t xml:space="preserve">Capture only</t>
  </si>
  <si>
    <t xml:space="preserve">follow</t>
  </si>
  <si>
    <t xml:space="preserve">M1 (business follows)</t>
  </si>
  <si>
    <t xml:space="preserve">influencer_id = the account followed</t>
  </si>
  <si>
    <t xml:space="preserve">unfollow</t>
  </si>
  <si>
    <t xml:space="preserve">M1 (removes the follow)</t>
  </si>
  <si>
    <t xml:space="preserve">undo_of the follow</t>
  </si>
  <si>
    <t xml:space="preserve">M1, M5</t>
  </si>
  <si>
    <t xml:space="preserve">list from carts.ml</t>
  </si>
  <si>
    <t xml:space="preserve">remove_from_cart</t>
  </si>
  <si>
    <t xml:space="preserve">purchase</t>
  </si>
  <si>
    <t xml:space="preserve">M1, M5, M8 via the order</t>
  </si>
  <si>
    <t xml:space="preserve">the order is the authority (X-18)</t>
  </si>
  <si>
    <t xml:space="preserve">feedback</t>
  </si>
  <si>
    <t xml:space="preserve">M1, filters</t>
  </si>
  <si>
    <t xml:space="preserve">not_interested, hide, report, mute_author</t>
  </si>
  <si>
    <t xml:space="preserve">product_view</t>
  </si>
  <si>
    <t xml:space="preserve">video_play</t>
  </si>
  <si>
    <t xml:space="preserve">video_complete</t>
  </si>
  <si>
    <t xml:space="preserve">variant_select</t>
  </si>
  <si>
    <t xml:space="preserve">checkout_start</t>
  </si>
  <si>
    <t xml:space="preserve">carries checkout_id</t>
  </si>
  <si>
    <t xml:space="preserve">wishlist_add</t>
  </si>
  <si>
    <t xml:space="preserve">wishlist_remove</t>
  </si>
  <si>
    <t xml:space="preserve">undo_of the add</t>
  </si>
  <si>
    <t xml:space="preserve">search</t>
  </si>
  <si>
    <t xml:space="preserve">App / server</t>
  </si>
  <si>
    <t xml:space="preserve">full log in searchqueries</t>
  </si>
</sst>
</file>

<file path=xl/styles.xml><?xml version="1.0" encoding="utf-8"?>
<styleSheet xmlns="http://schemas.openxmlformats.org/spreadsheetml/2006/main">
  <numFmts count="3">
    <numFmt numFmtId="164" formatCode="General"/>
    <numFmt numFmtId="165" formatCode="General"/>
    <numFmt numFmtId="166" formatCode="d\ mmm\ yyyy"/>
  </numFmts>
  <fonts count="12">
    <font>
      <sz val="11"/>
      <color theme="1"/>
      <name val="Calibri"/>
      <family val="0"/>
      <charset val="1"/>
    </font>
    <font>
      <sz val="10"/>
      <name val="Arial"/>
      <family val="0"/>
    </font>
    <font>
      <sz val="10"/>
      <name val="Arial"/>
      <family val="0"/>
    </font>
    <font>
      <sz val="10"/>
      <name val="Arial"/>
      <family val="0"/>
    </font>
    <font>
      <b val="true"/>
      <sz val="14"/>
      <color rgb="FFFFFFFF"/>
      <name val="Arial"/>
      <family val="0"/>
      <charset val="1"/>
    </font>
    <font>
      <sz val="11"/>
      <color theme="1"/>
      <name val="Arial"/>
      <family val="0"/>
      <charset val="1"/>
    </font>
    <font>
      <b val="true"/>
      <sz val="10"/>
      <color theme="1"/>
      <name val="Arial"/>
      <family val="0"/>
      <charset val="1"/>
    </font>
    <font>
      <sz val="10"/>
      <color theme="1"/>
      <name val="Arial"/>
      <family val="0"/>
      <charset val="1"/>
    </font>
    <font>
      <b val="true"/>
      <sz val="11"/>
      <color theme="1"/>
      <name val="Arial"/>
      <family val="0"/>
      <charset val="1"/>
    </font>
    <font>
      <b val="true"/>
      <sz val="10"/>
      <color rgb="FFFFFFFF"/>
      <name val="Arial"/>
      <family val="0"/>
      <charset val="1"/>
    </font>
    <font>
      <sz val="10"/>
      <name val="Arial"/>
      <family val="2"/>
    </font>
    <font>
      <b val="true"/>
      <sz val="14"/>
      <color theme="1"/>
      <name val="Cambria"/>
      <family val="0"/>
      <charset val="1"/>
    </font>
  </fonts>
  <fills count="8">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F2CC"/>
        <bgColor rgb="FFEDEDED"/>
      </patternFill>
    </fill>
    <fill>
      <patternFill patternType="solid">
        <fgColor rgb="FFDDEBF7"/>
        <bgColor rgb="FFEDEDED"/>
      </patternFill>
    </fill>
    <fill>
      <patternFill patternType="solid">
        <fgColor rgb="FFEDEDED"/>
        <bgColor rgb="FFE2EFDA"/>
      </patternFill>
    </fill>
    <fill>
      <patternFill patternType="solid">
        <fgColor rgb="FF44546A"/>
        <bgColor rgb="FF1F386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44546A"/>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bgColor rgb="FFE2EFDA"/>
        </patternFill>
      </fill>
    </dxf>
    <dxf>
      <fill>
        <patternFill>
          <bgColor rgb="FFFFF2CC"/>
        </patternFill>
      </fill>
    </dxf>
    <dxf>
      <fill>
        <patternFill>
          <bgColor rgb="FFDDEBF7"/>
        </patternFill>
      </fill>
    </dxf>
    <dxf>
      <fill>
        <patternFill>
          <bgColor rgb="FFEDEDED"/>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8"/>
    <col collapsed="false" customWidth="true" hidden="false" outlineLevel="0" max="3" min="2" style="1" width="16"/>
    <col collapsed="false" customWidth="true" hidden="false" outlineLevel="0" max="4" min="4" style="1" width="20"/>
    <col collapsed="false" customWidth="true" hidden="false" outlineLevel="0" max="8" min="5" style="1" width="8.71"/>
    <col collapsed="false" customWidth="true" hidden="false" outlineLevel="0" max="9" min="9" style="1" width="41.86"/>
    <col collapsed="false" customWidth="true" hidden="false" outlineLevel="0" max="26" min="10" style="1" width="8.71"/>
  </cols>
  <sheetData>
    <row r="1" customFormat="false" ht="25.5" hidden="false" customHeight="true" outlineLevel="0" collapsed="false">
      <c r="A1" s="2" t="s">
        <v>0</v>
      </c>
      <c r="B1" s="2"/>
      <c r="C1" s="2"/>
      <c r="D1" s="2"/>
    </row>
    <row r="2" customFormat="false" ht="15" hidden="false" customHeight="true" outlineLevel="0" collapsed="false">
      <c r="A2" s="3"/>
      <c r="B2" s="3"/>
      <c r="C2" s="3"/>
      <c r="D2" s="3"/>
    </row>
    <row r="3" customFormat="false" ht="60" hidden="false" customHeight="true" outlineLevel="0" collapsed="false">
      <c r="A3" s="4" t="s">
        <v>1</v>
      </c>
      <c r="B3" s="5" t="s">
        <v>2</v>
      </c>
      <c r="C3" s="5"/>
      <c r="D3" s="5"/>
      <c r="H3" s="1" t="s">
        <v>3</v>
      </c>
      <c r="I3" s="6" t="s">
        <v>4</v>
      </c>
    </row>
    <row r="4" customFormat="false" ht="57.75" hidden="false" customHeight="true" outlineLevel="0" collapsed="false">
      <c r="A4" s="4" t="s">
        <v>5</v>
      </c>
      <c r="B4" s="5" t="s">
        <v>6</v>
      </c>
      <c r="C4" s="5"/>
      <c r="D4" s="5"/>
      <c r="H4" s="1" t="s">
        <v>7</v>
      </c>
      <c r="I4" s="6" t="s">
        <v>8</v>
      </c>
    </row>
    <row r="5" customFormat="false" ht="45" hidden="false" customHeight="true" outlineLevel="0" collapsed="false">
      <c r="A5" s="4" t="s">
        <v>9</v>
      </c>
      <c r="B5" s="5" t="s">
        <v>10</v>
      </c>
      <c r="C5" s="5"/>
      <c r="D5" s="5"/>
      <c r="I5" s="6" t="s">
        <v>11</v>
      </c>
    </row>
    <row r="6" customFormat="false" ht="45" hidden="false" customHeight="true" outlineLevel="0" collapsed="false">
      <c r="A6" s="7" t="s">
        <v>12</v>
      </c>
      <c r="B6" s="5" t="s">
        <v>13</v>
      </c>
      <c r="C6" s="5"/>
      <c r="D6" s="5"/>
      <c r="I6" s="6" t="s">
        <v>14</v>
      </c>
    </row>
    <row r="7" customFormat="false" ht="33" hidden="false" customHeight="true" outlineLevel="0" collapsed="false">
      <c r="A7" s="8" t="s">
        <v>15</v>
      </c>
      <c r="B7" s="5" t="s">
        <v>16</v>
      </c>
      <c r="C7" s="5"/>
      <c r="D7" s="5"/>
      <c r="H7" s="1" t="s">
        <v>3</v>
      </c>
      <c r="I7" s="6" t="s">
        <v>17</v>
      </c>
    </row>
    <row r="8" customFormat="false" ht="30" hidden="false" customHeight="true" outlineLevel="0" collapsed="false">
      <c r="A8" s="9" t="s">
        <v>18</v>
      </c>
      <c r="B8" s="5" t="s">
        <v>19</v>
      </c>
      <c r="C8" s="5"/>
      <c r="D8" s="5"/>
    </row>
    <row r="9" customFormat="false" ht="15" hidden="false" customHeight="true" outlineLevel="0" collapsed="false">
      <c r="A9" s="10" t="s">
        <v>20</v>
      </c>
      <c r="B9" s="5" t="s">
        <v>21</v>
      </c>
      <c r="C9" s="5"/>
      <c r="D9" s="5"/>
    </row>
    <row r="10" customFormat="false" ht="15" hidden="false" customHeight="true" outlineLevel="0" collapsed="false">
      <c r="A10" s="10" t="s">
        <v>22</v>
      </c>
      <c r="B10" s="5" t="s">
        <v>23</v>
      </c>
      <c r="C10" s="5"/>
      <c r="D10" s="5"/>
    </row>
    <row r="11" customFormat="false" ht="60" hidden="false" customHeight="true" outlineLevel="0" collapsed="false">
      <c r="A11" s="4" t="s">
        <v>24</v>
      </c>
      <c r="B11" s="5" t="s">
        <v>25</v>
      </c>
      <c r="C11" s="5"/>
      <c r="D11" s="5"/>
    </row>
    <row r="12" customFormat="false" ht="45" hidden="false" customHeight="true" outlineLevel="0" collapsed="false">
      <c r="A12" s="4" t="s">
        <v>26</v>
      </c>
      <c r="B12" s="5" t="s">
        <v>27</v>
      </c>
      <c r="C12" s="5"/>
      <c r="D12" s="5"/>
    </row>
    <row r="13" customFormat="false" ht="15" hidden="false" customHeight="true" outlineLevel="0" collapsed="false">
      <c r="A13" s="3"/>
      <c r="B13" s="3"/>
      <c r="C13" s="3"/>
      <c r="D13" s="3"/>
    </row>
    <row r="14" customFormat="false" ht="15" hidden="false" customHeight="true" outlineLevel="0" collapsed="false">
      <c r="A14" s="11" t="s">
        <v>28</v>
      </c>
      <c r="B14" s="3"/>
      <c r="C14" s="3"/>
      <c r="D14" s="3"/>
    </row>
    <row r="15" customFormat="false" ht="15" hidden="false" customHeight="true" outlineLevel="0" collapsed="false">
      <c r="A15" s="12" t="s">
        <v>29</v>
      </c>
      <c r="B15" s="12" t="s">
        <v>30</v>
      </c>
      <c r="C15" s="12" t="s">
        <v>31</v>
      </c>
      <c r="D15" s="12" t="s">
        <v>32</v>
      </c>
    </row>
    <row r="16" customFormat="false" ht="15" hidden="false" customHeight="true" outlineLevel="0" collapsed="false">
      <c r="A16" s="13" t="s">
        <v>12</v>
      </c>
      <c r="B16" s="14" t="n">
        <f aca="false">COUNTIF('1 Events'!F5:F17,"Built")</f>
        <v>4</v>
      </c>
      <c r="C16" s="14" t="n">
        <f aca="false">COUNTIF('2 Fields'!H5:H84,"Built")</f>
        <v>28</v>
      </c>
      <c r="D16" s="14" t="n">
        <f aca="false">COUNTIF('3 Data model changes'!E5:E16,"Built")</f>
        <v>0</v>
      </c>
    </row>
    <row r="17" customFormat="false" ht="15" hidden="false" customHeight="true" outlineLevel="0" collapsed="false">
      <c r="A17" s="15" t="s">
        <v>15</v>
      </c>
      <c r="B17" s="14" t="n">
        <f aca="false">COUNTIF('1 Events'!F5:F17,"Verify")</f>
        <v>3</v>
      </c>
      <c r="C17" s="14" t="n">
        <f aca="false">COUNTIF('2 Fields'!H5:H84,"Verify")</f>
        <v>11</v>
      </c>
      <c r="D17" s="14" t="n">
        <f aca="false">COUNTIF('3 Data model changes'!E5:E16,"Verify")</f>
        <v>3</v>
      </c>
    </row>
    <row r="18" customFormat="false" ht="15" hidden="false" customHeight="true" outlineLevel="0" collapsed="false">
      <c r="A18" s="16" t="s">
        <v>18</v>
      </c>
      <c r="B18" s="14" t="n">
        <f aca="false">COUNTIF('1 Events'!F5:F17,"To build")</f>
        <v>1</v>
      </c>
      <c r="C18" s="14" t="n">
        <f aca="false">COUNTIF('2 Fields'!H5:H84,"To build")</f>
        <v>12</v>
      </c>
      <c r="D18" s="14" t="n">
        <f aca="false">COUNTIF('3 Data model changes'!E5:E16,"To build")</f>
        <v>2</v>
      </c>
    </row>
    <row r="19" customFormat="false" ht="15" hidden="false" customHeight="true" outlineLevel="0" collapsed="false">
      <c r="A19" s="17" t="s">
        <v>20</v>
      </c>
      <c r="B19" s="14" t="n">
        <f aca="false">COUNTIF('1 Events'!F5:F17,"Deferred")</f>
        <v>4</v>
      </c>
      <c r="C19" s="14" t="n">
        <f aca="false">COUNTIF('2 Fields'!H5:H84,"Deferred")</f>
        <v>18</v>
      </c>
      <c r="D19" s="14" t="n">
        <f aca="false">COUNTIF('3 Data model changes'!E5:E16,"Deferred")</f>
        <v>1</v>
      </c>
    </row>
    <row r="20" customFormat="false" ht="15" hidden="false" customHeight="true" outlineLevel="0" collapsed="false">
      <c r="A20" s="17" t="s">
        <v>22</v>
      </c>
      <c r="B20" s="14" t="n">
        <f aca="false">COUNTIF('1 Events'!F5:F17,"Closed")</f>
        <v>1</v>
      </c>
      <c r="C20" s="14" t="n">
        <f aca="false">COUNTIF('2 Fields'!H5:H84,"Closed")</f>
        <v>11</v>
      </c>
      <c r="D20" s="14" t="n">
        <f aca="false">COUNTIF('3 Data model changes'!E5:E16,"Closed")</f>
        <v>6</v>
      </c>
    </row>
    <row r="21" customFormat="false" ht="15" hidden="false" customHeight="true" outlineLevel="0" collapsed="false">
      <c r="A21" s="18" t="s">
        <v>33</v>
      </c>
      <c r="B21" s="14" t="n">
        <f aca="false">COUNTIFS('1 Events'!F5:F17,"To build",'1 Events'!G5:G17,"")</f>
        <v>1</v>
      </c>
      <c r="C21" s="14" t="n">
        <f aca="false">COUNTIFS('2 Fields'!H5:H84,"To build",'2 Fields'!I5:I84,"")</f>
        <v>12</v>
      </c>
      <c r="D21" s="14" t="n">
        <f aca="false">COUNTIFS('3 Data model changes'!E5:E16,"To build",'3 Data model changes'!F5:F16,"")</f>
        <v>2</v>
      </c>
    </row>
    <row r="22" customFormat="false" ht="15" hidden="false" customHeight="true" outlineLevel="0" collapsed="false">
      <c r="A22" s="18" t="s">
        <v>34</v>
      </c>
      <c r="B22" s="14" t="n">
        <f aca="false">COUNTA('1 Events'!F5:F17)</f>
        <v>13</v>
      </c>
      <c r="C22" s="14" t="n">
        <f aca="false">COUNTA('2 Fields'!H5:H84)</f>
        <v>80</v>
      </c>
      <c r="D22" s="14" t="n">
        <f aca="false">COUNTA('3 Data model changes'!E5:E16)</f>
        <v>12</v>
      </c>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D1"/>
    <mergeCell ref="B3:D3"/>
    <mergeCell ref="B4:D4"/>
    <mergeCell ref="B5:D5"/>
    <mergeCell ref="B6:D6"/>
    <mergeCell ref="B7:D7"/>
    <mergeCell ref="B8:D8"/>
    <mergeCell ref="B9:D9"/>
    <mergeCell ref="B10:D10"/>
    <mergeCell ref="B11:D11"/>
    <mergeCell ref="B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24"/>
    <col collapsed="false" customWidth="true" hidden="false" outlineLevel="0" max="4" min="4" style="1" width="10"/>
    <col collapsed="false" customWidth="true" hidden="false" outlineLevel="0" max="5" min="5" style="1" width="16"/>
    <col collapsed="false" customWidth="true" hidden="false" outlineLevel="0" max="6" min="6" style="1" width="10"/>
    <col collapsed="false" customWidth="true" hidden="false" outlineLevel="0" max="7" min="7" style="1" width="12"/>
    <col collapsed="false" customWidth="true" hidden="false" outlineLevel="0" max="8" min="8" style="1" width="55"/>
    <col collapsed="false" customWidth="true" hidden="false" outlineLevel="0" max="9" min="9" style="1" width="40"/>
    <col collapsed="false" customWidth="true" hidden="false" outlineLevel="0" max="10" min="10" style="1" width="34"/>
    <col collapsed="false" customWidth="true" hidden="false" outlineLevel="0" max="11" min="11" style="1" width="14"/>
    <col collapsed="false" customWidth="true" hidden="false" outlineLevel="0" max="12" min="12" style="1" width="42"/>
    <col collapsed="false" customWidth="true" hidden="false" outlineLevel="0" max="26" min="13" style="1" width="8.71"/>
  </cols>
  <sheetData>
    <row r="1" customFormat="false" ht="25.5" hidden="false" customHeight="true" outlineLevel="0" collapsed="false">
      <c r="A1" s="2" t="s">
        <v>30</v>
      </c>
      <c r="B1" s="2"/>
      <c r="C1" s="2"/>
      <c r="D1" s="2"/>
      <c r="E1" s="2"/>
      <c r="F1" s="2"/>
      <c r="G1" s="2"/>
      <c r="H1" s="2"/>
      <c r="I1" s="2"/>
      <c r="J1" s="2"/>
      <c r="K1" s="2"/>
      <c r="L1" s="2"/>
    </row>
    <row r="2" customFormat="false" ht="30" hidden="false" customHeight="true" outlineLevel="0" collapsed="false">
      <c r="A2" s="5" t="s">
        <v>35</v>
      </c>
      <c r="B2" s="5"/>
      <c r="C2" s="5"/>
      <c r="D2" s="5"/>
      <c r="E2" s="5"/>
      <c r="F2" s="5"/>
      <c r="G2" s="5"/>
      <c r="H2" s="5"/>
      <c r="I2" s="5"/>
      <c r="J2" s="5"/>
      <c r="K2" s="5"/>
      <c r="L2" s="5"/>
    </row>
    <row r="3" customFormat="false" ht="15" hidden="false" customHeight="true" outlineLevel="0" collapsed="false"/>
    <row r="4" customFormat="false" ht="30" hidden="false" customHeight="true" outlineLevel="0" collapsed="false">
      <c r="A4" s="19" t="s">
        <v>36</v>
      </c>
      <c r="B4" s="19" t="s">
        <v>37</v>
      </c>
      <c r="C4" s="19" t="s">
        <v>38</v>
      </c>
      <c r="D4" s="19" t="s">
        <v>39</v>
      </c>
      <c r="E4" s="19" t="s">
        <v>40</v>
      </c>
      <c r="F4" s="19" t="s">
        <v>29</v>
      </c>
      <c r="G4" s="19" t="s">
        <v>41</v>
      </c>
      <c r="H4" s="19" t="s">
        <v>42</v>
      </c>
      <c r="I4" s="19" t="s">
        <v>43</v>
      </c>
      <c r="J4" s="19" t="s">
        <v>44</v>
      </c>
      <c r="K4" s="19" t="s">
        <v>45</v>
      </c>
      <c r="L4" s="19" t="s">
        <v>46</v>
      </c>
    </row>
    <row r="5" customFormat="false" ht="63.75" hidden="false" customHeight="true" outlineLevel="0" collapsed="false">
      <c r="A5" s="20" t="s">
        <v>47</v>
      </c>
      <c r="B5" s="21" t="s">
        <v>48</v>
      </c>
      <c r="C5" s="21" t="s">
        <v>49</v>
      </c>
      <c r="D5" s="21" t="s">
        <v>50</v>
      </c>
      <c r="E5" s="21" t="s">
        <v>51</v>
      </c>
      <c r="F5" s="21" t="s">
        <v>18</v>
      </c>
      <c r="G5" s="21"/>
      <c r="H5" s="21" t="s">
        <v>52</v>
      </c>
      <c r="I5" s="21" t="s">
        <v>53</v>
      </c>
      <c r="J5" s="21" t="s">
        <v>54</v>
      </c>
      <c r="K5" s="21" t="s">
        <v>55</v>
      </c>
      <c r="L5" s="21" t="s">
        <v>56</v>
      </c>
    </row>
    <row r="6" customFormat="false" ht="63.75" hidden="false" customHeight="true" outlineLevel="0" collapsed="false">
      <c r="A6" s="20" t="s">
        <v>57</v>
      </c>
      <c r="B6" s="21" t="s">
        <v>58</v>
      </c>
      <c r="C6" s="21" t="s">
        <v>59</v>
      </c>
      <c r="D6" s="21" t="s">
        <v>50</v>
      </c>
      <c r="E6" s="21" t="s">
        <v>3</v>
      </c>
      <c r="F6" s="21" t="s">
        <v>12</v>
      </c>
      <c r="G6" s="22" t="n">
        <v>46286</v>
      </c>
      <c r="H6" s="21" t="s">
        <v>60</v>
      </c>
      <c r="I6" s="21" t="s">
        <v>61</v>
      </c>
      <c r="J6" s="21" t="s">
        <v>62</v>
      </c>
      <c r="K6" s="21" t="s">
        <v>63</v>
      </c>
      <c r="L6" s="21" t="s">
        <v>64</v>
      </c>
    </row>
    <row r="7" customFormat="false" ht="38.25" hidden="false" customHeight="true" outlineLevel="0" collapsed="false">
      <c r="A7" s="20" t="s">
        <v>65</v>
      </c>
      <c r="B7" s="21" t="s">
        <v>66</v>
      </c>
      <c r="C7" s="21" t="s">
        <v>67</v>
      </c>
      <c r="D7" s="21" t="s">
        <v>50</v>
      </c>
      <c r="E7" s="21" t="s">
        <v>3</v>
      </c>
      <c r="F7" s="21" t="s">
        <v>12</v>
      </c>
      <c r="G7" s="22" t="n">
        <v>46286</v>
      </c>
      <c r="H7" s="21" t="s">
        <v>68</v>
      </c>
      <c r="I7" s="21" t="s">
        <v>69</v>
      </c>
      <c r="J7" s="21" t="s">
        <v>70</v>
      </c>
      <c r="K7" s="21" t="s">
        <v>65</v>
      </c>
      <c r="L7" s="21" t="s">
        <v>71</v>
      </c>
    </row>
    <row r="8" customFormat="false" ht="38.25" hidden="false" customHeight="true" outlineLevel="0" collapsed="false">
      <c r="A8" s="20" t="s">
        <v>72</v>
      </c>
      <c r="B8" s="21" t="s">
        <v>73</v>
      </c>
      <c r="C8" s="21" t="s">
        <v>74</v>
      </c>
      <c r="D8" s="21" t="s">
        <v>75</v>
      </c>
      <c r="E8" s="21" t="s">
        <v>3</v>
      </c>
      <c r="F8" s="21" t="s">
        <v>15</v>
      </c>
      <c r="G8" s="22"/>
      <c r="H8" s="21" t="s">
        <v>76</v>
      </c>
      <c r="I8" s="21" t="s">
        <v>77</v>
      </c>
      <c r="J8" s="21" t="s">
        <v>78</v>
      </c>
      <c r="K8" s="21" t="s">
        <v>79</v>
      </c>
      <c r="L8" s="21" t="s">
        <v>80</v>
      </c>
    </row>
    <row r="9" customFormat="false" ht="38.25" hidden="false" customHeight="true" outlineLevel="0" collapsed="false">
      <c r="A9" s="20" t="s">
        <v>81</v>
      </c>
      <c r="B9" s="21" t="s">
        <v>82</v>
      </c>
      <c r="C9" s="21" t="s">
        <v>83</v>
      </c>
      <c r="D9" s="21" t="s">
        <v>50</v>
      </c>
      <c r="E9" s="21" t="s">
        <v>3</v>
      </c>
      <c r="F9" s="21" t="s">
        <v>15</v>
      </c>
      <c r="G9" s="21"/>
      <c r="H9" s="21" t="s">
        <v>84</v>
      </c>
      <c r="I9" s="21" t="s">
        <v>85</v>
      </c>
      <c r="J9" s="21" t="s">
        <v>86</v>
      </c>
      <c r="K9" s="21" t="s">
        <v>81</v>
      </c>
      <c r="L9" s="21" t="s">
        <v>87</v>
      </c>
    </row>
    <row r="10" customFormat="false" ht="76.5" hidden="false" customHeight="true" outlineLevel="0" collapsed="false">
      <c r="A10" s="20" t="s">
        <v>88</v>
      </c>
      <c r="B10" s="21" t="s">
        <v>89</v>
      </c>
      <c r="C10" s="21" t="s">
        <v>90</v>
      </c>
      <c r="D10" s="21" t="s">
        <v>50</v>
      </c>
      <c r="E10" s="21" t="s">
        <v>3</v>
      </c>
      <c r="F10" s="21" t="s">
        <v>15</v>
      </c>
      <c r="G10" s="22"/>
      <c r="H10" s="21" t="s">
        <v>91</v>
      </c>
      <c r="I10" s="21" t="s">
        <v>92</v>
      </c>
      <c r="J10" s="21" t="s">
        <v>93</v>
      </c>
      <c r="K10" s="21" t="s">
        <v>94</v>
      </c>
      <c r="L10" s="21" t="s">
        <v>95</v>
      </c>
    </row>
    <row r="11" customFormat="false" ht="63.75" hidden="false" customHeight="true" outlineLevel="0" collapsed="false">
      <c r="A11" s="20" t="s">
        <v>96</v>
      </c>
      <c r="B11" s="21" t="s">
        <v>97</v>
      </c>
      <c r="C11" s="21" t="s">
        <v>98</v>
      </c>
      <c r="D11" s="21" t="s">
        <v>75</v>
      </c>
      <c r="E11" s="21" t="s">
        <v>3</v>
      </c>
      <c r="F11" s="21" t="s">
        <v>20</v>
      </c>
      <c r="G11" s="21"/>
      <c r="H11" s="21" t="s">
        <v>99</v>
      </c>
      <c r="I11" s="21" t="s">
        <v>100</v>
      </c>
      <c r="J11" s="21" t="s">
        <v>101</v>
      </c>
      <c r="K11" s="21" t="s">
        <v>96</v>
      </c>
      <c r="L11" s="21" t="s">
        <v>102</v>
      </c>
    </row>
    <row r="12" customFormat="false" ht="38.25" hidden="false" customHeight="true" outlineLevel="0" collapsed="false">
      <c r="A12" s="20" t="s">
        <v>103</v>
      </c>
      <c r="B12" s="21" t="s">
        <v>104</v>
      </c>
      <c r="C12" s="21" t="s">
        <v>105</v>
      </c>
      <c r="D12" s="21" t="s">
        <v>50</v>
      </c>
      <c r="E12" s="21" t="s">
        <v>3</v>
      </c>
      <c r="F12" s="21" t="s">
        <v>20</v>
      </c>
      <c r="G12" s="21"/>
      <c r="H12" s="21" t="s">
        <v>106</v>
      </c>
      <c r="I12" s="21" t="s">
        <v>100</v>
      </c>
      <c r="J12" s="21" t="s">
        <v>107</v>
      </c>
      <c r="K12" s="21" t="s">
        <v>103</v>
      </c>
      <c r="L12" s="21" t="s">
        <v>108</v>
      </c>
    </row>
    <row r="13" customFormat="false" ht="38.25" hidden="false" customHeight="true" outlineLevel="0" collapsed="false">
      <c r="A13" s="20" t="s">
        <v>109</v>
      </c>
      <c r="B13" s="21" t="s">
        <v>110</v>
      </c>
      <c r="C13" s="21" t="s">
        <v>111</v>
      </c>
      <c r="D13" s="21" t="s">
        <v>75</v>
      </c>
      <c r="E13" s="21" t="s">
        <v>3</v>
      </c>
      <c r="F13" s="21" t="s">
        <v>12</v>
      </c>
      <c r="G13" s="22" t="n">
        <v>46286</v>
      </c>
      <c r="H13" s="21" t="s">
        <v>112</v>
      </c>
      <c r="I13" s="21" t="s">
        <v>113</v>
      </c>
      <c r="J13" s="21" t="s">
        <v>114</v>
      </c>
      <c r="K13" s="21" t="s">
        <v>109</v>
      </c>
      <c r="L13" s="21" t="s">
        <v>115</v>
      </c>
    </row>
    <row r="14" customFormat="false" ht="51" hidden="false" customHeight="true" outlineLevel="0" collapsed="false">
      <c r="A14" s="20" t="s">
        <v>116</v>
      </c>
      <c r="B14" s="21" t="s">
        <v>117</v>
      </c>
      <c r="C14" s="21" t="s">
        <v>118</v>
      </c>
      <c r="D14" s="21" t="s">
        <v>50</v>
      </c>
      <c r="E14" s="21" t="s">
        <v>3</v>
      </c>
      <c r="F14" s="21" t="s">
        <v>20</v>
      </c>
      <c r="G14" s="21"/>
      <c r="H14" s="21" t="s">
        <v>119</v>
      </c>
      <c r="I14" s="21" t="s">
        <v>100</v>
      </c>
      <c r="J14" s="21" t="s">
        <v>120</v>
      </c>
      <c r="K14" s="21" t="s">
        <v>116</v>
      </c>
      <c r="L14" s="21" t="s">
        <v>121</v>
      </c>
    </row>
    <row r="15" customFormat="false" ht="38.25" hidden="false" customHeight="true" outlineLevel="0" collapsed="false">
      <c r="A15" s="20" t="s">
        <v>122</v>
      </c>
      <c r="B15" s="21" t="s">
        <v>123</v>
      </c>
      <c r="C15" s="21" t="s">
        <v>124</v>
      </c>
      <c r="D15" s="21" t="s">
        <v>125</v>
      </c>
      <c r="E15" s="21" t="s">
        <v>3</v>
      </c>
      <c r="F15" s="21" t="s">
        <v>20</v>
      </c>
      <c r="G15" s="21"/>
      <c r="H15" s="21" t="s">
        <v>126</v>
      </c>
      <c r="I15" s="21" t="s">
        <v>100</v>
      </c>
      <c r="J15" s="21" t="s">
        <v>127</v>
      </c>
      <c r="K15" s="21" t="s">
        <v>122</v>
      </c>
      <c r="L15" s="21" t="s">
        <v>128</v>
      </c>
    </row>
    <row r="16" customFormat="false" ht="38.25" hidden="false" customHeight="true" outlineLevel="0" collapsed="false">
      <c r="A16" s="20" t="s">
        <v>129</v>
      </c>
      <c r="B16" s="21" t="s">
        <v>130</v>
      </c>
      <c r="C16" s="21" t="s">
        <v>131</v>
      </c>
      <c r="D16" s="21" t="s">
        <v>75</v>
      </c>
      <c r="E16" s="21" t="s">
        <v>3</v>
      </c>
      <c r="F16" s="21" t="s">
        <v>22</v>
      </c>
      <c r="G16" s="21"/>
      <c r="H16" s="21" t="s">
        <v>132</v>
      </c>
      <c r="I16" s="21" t="s">
        <v>100</v>
      </c>
      <c r="J16" s="21" t="s">
        <v>133</v>
      </c>
      <c r="K16" s="21" t="s">
        <v>129</v>
      </c>
      <c r="L16" s="21"/>
    </row>
    <row r="17" customFormat="false" ht="38.25" hidden="false" customHeight="true" outlineLevel="0" collapsed="false">
      <c r="A17" s="20" t="s">
        <v>134</v>
      </c>
      <c r="B17" s="21" t="s">
        <v>135</v>
      </c>
      <c r="C17" s="21" t="s">
        <v>136</v>
      </c>
      <c r="D17" s="21"/>
      <c r="E17" s="21" t="s">
        <v>3</v>
      </c>
      <c r="F17" s="21" t="s">
        <v>12</v>
      </c>
      <c r="G17" s="22" t="n">
        <v>46286</v>
      </c>
      <c r="H17" s="21" t="s">
        <v>137</v>
      </c>
      <c r="I17" s="21" t="s">
        <v>138</v>
      </c>
      <c r="J17" s="21" t="s">
        <v>139</v>
      </c>
      <c r="K17" s="21" t="s">
        <v>140</v>
      </c>
      <c r="L17" s="21" t="s">
        <v>141</v>
      </c>
    </row>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L17"/>
  <mergeCells count="2">
    <mergeCell ref="A1:L1"/>
    <mergeCell ref="A2:L2"/>
  </mergeCells>
  <conditionalFormatting sqref="A5:L17">
    <cfRule type="expression" priority="2" aboveAverage="0" equalAverage="0" bottom="0" percent="0" rank="0" text="" dxfId="7">
      <formula>$F5="Built"</formula>
    </cfRule>
    <cfRule type="expression" priority="3" aboveAverage="0" equalAverage="0" bottom="0" percent="0" rank="0" text="" dxfId="8">
      <formula>$F5="Verify"</formula>
    </cfRule>
    <cfRule type="expression" priority="4" aboveAverage="0" equalAverage="0" bottom="0" percent="0" rank="0" text="" dxfId="9">
      <formula>$F5="To build"</formula>
    </cfRule>
    <cfRule type="expression" priority="5" aboveAverage="0" equalAverage="0" bottom="0" percent="0" rank="0" text="" dxfId="10">
      <formula>$F5="Deferred"</formula>
    </cfRule>
    <cfRule type="expression" priority="6" aboveAverage="0" equalAverage="0" bottom="0" percent="0" rank="0" text="" dxfId="10">
      <formula>$F5="Closed"</formula>
    </cfRule>
  </conditionalFormatting>
  <dataValidations count="1">
    <dataValidation allowBlank="true" errorStyle="stop" operator="between" showDropDown="false" showErrorMessage="false" showInputMessage="false" sqref="F5:F17" type="list">
      <formula1>"Built,Verify,To build,Deferred,Closed"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14.433593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16"/>
    <col collapsed="false" customWidth="true" hidden="false" outlineLevel="0" max="4" min="4" style="1" width="24"/>
    <col collapsed="false" customWidth="true" hidden="false" outlineLevel="0" max="5" min="5" style="1" width="10"/>
    <col collapsed="false" customWidth="true" hidden="false" outlineLevel="0" max="6" min="6" style="1" width="7"/>
    <col collapsed="false" customWidth="true" hidden="false" outlineLevel="0" max="7" min="7" style="1" width="14"/>
    <col collapsed="false" customWidth="true" hidden="false" outlineLevel="0" max="8" min="8" style="1" width="10"/>
    <col collapsed="false" customWidth="true" hidden="false" outlineLevel="0" max="9" min="9" style="1" width="12"/>
    <col collapsed="false" customWidth="true" hidden="false" outlineLevel="0" max="10" min="10" style="1" width="52"/>
    <col collapsed="false" customWidth="true" hidden="false" outlineLevel="0" max="11" min="11" style="1" width="40"/>
    <col collapsed="false" customWidth="true" hidden="false" outlineLevel="0" max="12" min="12" style="1" width="34"/>
    <col collapsed="false" customWidth="true" hidden="false" outlineLevel="0" max="13" min="13" style="1" width="14"/>
    <col collapsed="false" customWidth="true" hidden="false" outlineLevel="0" max="14" min="14" style="1" width="40"/>
    <col collapsed="false" customWidth="true" hidden="false" outlineLevel="0" max="26" min="15" style="1" width="8.71"/>
  </cols>
  <sheetData>
    <row r="1" customFormat="false" ht="25.5" hidden="false" customHeight="true" outlineLevel="0" collapsed="false">
      <c r="A1" s="2" t="s">
        <v>31</v>
      </c>
      <c r="B1" s="2"/>
      <c r="C1" s="2"/>
      <c r="D1" s="2"/>
      <c r="E1" s="2"/>
      <c r="F1" s="2"/>
      <c r="G1" s="2"/>
      <c r="H1" s="2"/>
      <c r="I1" s="2"/>
      <c r="J1" s="2"/>
      <c r="K1" s="2"/>
      <c r="L1" s="2"/>
      <c r="M1" s="2"/>
      <c r="N1" s="2"/>
    </row>
    <row r="2" customFormat="false" ht="30" hidden="false" customHeight="true" outlineLevel="0" collapsed="false">
      <c r="A2" s="5" t="s">
        <v>142</v>
      </c>
      <c r="B2" s="5"/>
      <c r="C2" s="5"/>
      <c r="D2" s="5"/>
      <c r="E2" s="5"/>
      <c r="F2" s="5"/>
      <c r="G2" s="5"/>
      <c r="H2" s="5"/>
      <c r="I2" s="5"/>
      <c r="J2" s="5"/>
      <c r="K2" s="5"/>
      <c r="L2" s="5"/>
      <c r="M2" s="5"/>
      <c r="N2" s="5"/>
    </row>
    <row r="3" customFormat="false" ht="15" hidden="false" customHeight="true" outlineLevel="0" collapsed="false"/>
    <row r="4" customFormat="false" ht="30" hidden="false" customHeight="true" outlineLevel="0" collapsed="false">
      <c r="A4" s="19" t="s">
        <v>36</v>
      </c>
      <c r="B4" s="19" t="s">
        <v>143</v>
      </c>
      <c r="C4" s="19" t="s">
        <v>144</v>
      </c>
      <c r="D4" s="19" t="s">
        <v>145</v>
      </c>
      <c r="E4" s="19" t="s">
        <v>39</v>
      </c>
      <c r="F4" s="19" t="s">
        <v>146</v>
      </c>
      <c r="G4" s="19" t="s">
        <v>40</v>
      </c>
      <c r="H4" s="19" t="s">
        <v>29</v>
      </c>
      <c r="I4" s="19" t="s">
        <v>41</v>
      </c>
      <c r="J4" s="19" t="s">
        <v>147</v>
      </c>
      <c r="K4" s="19" t="s">
        <v>43</v>
      </c>
      <c r="L4" s="19" t="s">
        <v>148</v>
      </c>
      <c r="M4" s="19" t="s">
        <v>45</v>
      </c>
      <c r="N4" s="19" t="s">
        <v>46</v>
      </c>
    </row>
    <row r="5" customFormat="false" ht="38.25" hidden="false" customHeight="true" outlineLevel="0" collapsed="false">
      <c r="A5" s="20" t="s">
        <v>149</v>
      </c>
      <c r="B5" s="21" t="s">
        <v>48</v>
      </c>
      <c r="C5" s="21" t="s">
        <v>150</v>
      </c>
      <c r="D5" s="21" t="s">
        <v>151</v>
      </c>
      <c r="E5" s="21" t="s">
        <v>50</v>
      </c>
      <c r="F5" s="21" t="s">
        <v>152</v>
      </c>
      <c r="G5" s="21" t="s">
        <v>7</v>
      </c>
      <c r="H5" s="21" t="s">
        <v>18</v>
      </c>
      <c r="I5" s="21"/>
      <c r="J5" s="21" t="s">
        <v>153</v>
      </c>
      <c r="K5" s="21" t="s">
        <v>154</v>
      </c>
      <c r="L5" s="21" t="s">
        <v>155</v>
      </c>
      <c r="M5" s="21" t="s">
        <v>149</v>
      </c>
      <c r="N5" s="21" t="s">
        <v>156</v>
      </c>
    </row>
    <row r="6" customFormat="false" ht="38.25" hidden="false" customHeight="true" outlineLevel="0" collapsed="false">
      <c r="A6" s="20" t="s">
        <v>157</v>
      </c>
      <c r="B6" s="21" t="s">
        <v>48</v>
      </c>
      <c r="C6" s="21" t="s">
        <v>158</v>
      </c>
      <c r="D6" s="21" t="s">
        <v>159</v>
      </c>
      <c r="E6" s="21" t="s">
        <v>50</v>
      </c>
      <c r="F6" s="21" t="s">
        <v>152</v>
      </c>
      <c r="G6" s="21" t="s">
        <v>160</v>
      </c>
      <c r="H6" s="21" t="s">
        <v>12</v>
      </c>
      <c r="I6" s="22" t="n">
        <v>46286</v>
      </c>
      <c r="J6" s="21" t="s">
        <v>161</v>
      </c>
      <c r="K6" s="21" t="s">
        <v>162</v>
      </c>
      <c r="L6" s="21" t="s">
        <v>163</v>
      </c>
      <c r="M6" s="21" t="s">
        <v>164</v>
      </c>
      <c r="N6" s="21" t="s">
        <v>165</v>
      </c>
    </row>
    <row r="7" customFormat="false" ht="25.5" hidden="false" customHeight="true" outlineLevel="0" collapsed="false">
      <c r="A7" s="20" t="s">
        <v>166</v>
      </c>
      <c r="B7" s="21" t="s">
        <v>48</v>
      </c>
      <c r="C7" s="21" t="s">
        <v>167</v>
      </c>
      <c r="D7" s="21" t="s">
        <v>168</v>
      </c>
      <c r="E7" s="21" t="s">
        <v>50</v>
      </c>
      <c r="F7" s="21" t="s">
        <v>169</v>
      </c>
      <c r="G7" s="21" t="s">
        <v>7</v>
      </c>
      <c r="H7" s="21" t="s">
        <v>22</v>
      </c>
      <c r="I7" s="21"/>
      <c r="J7" s="21" t="s">
        <v>170</v>
      </c>
      <c r="K7" s="21" t="s">
        <v>171</v>
      </c>
      <c r="L7" s="21" t="s">
        <v>172</v>
      </c>
      <c r="M7" s="21" t="s">
        <v>166</v>
      </c>
      <c r="N7" s="21"/>
    </row>
    <row r="8" customFormat="false" ht="51" hidden="false" customHeight="true" outlineLevel="0" collapsed="false">
      <c r="A8" s="20" t="s">
        <v>173</v>
      </c>
      <c r="B8" s="21" t="s">
        <v>48</v>
      </c>
      <c r="C8" s="21" t="s">
        <v>174</v>
      </c>
      <c r="D8" s="21" t="s">
        <v>175</v>
      </c>
      <c r="E8" s="21" t="s">
        <v>75</v>
      </c>
      <c r="F8" s="21" t="s">
        <v>169</v>
      </c>
      <c r="G8" s="21" t="s">
        <v>160</v>
      </c>
      <c r="H8" s="21" t="s">
        <v>15</v>
      </c>
      <c r="I8" s="22"/>
      <c r="J8" s="21" t="s">
        <v>176</v>
      </c>
      <c r="K8" s="21" t="s">
        <v>177</v>
      </c>
      <c r="L8" s="21" t="s">
        <v>178</v>
      </c>
      <c r="M8" s="21" t="s">
        <v>179</v>
      </c>
      <c r="N8" s="21" t="s">
        <v>180</v>
      </c>
    </row>
    <row r="9" customFormat="false" ht="38.25" hidden="false" customHeight="true" outlineLevel="0" collapsed="false">
      <c r="A9" s="20" t="s">
        <v>181</v>
      </c>
      <c r="B9" s="21" t="s">
        <v>48</v>
      </c>
      <c r="C9" s="21" t="s">
        <v>182</v>
      </c>
      <c r="D9" s="21" t="s">
        <v>183</v>
      </c>
      <c r="E9" s="21" t="s">
        <v>50</v>
      </c>
      <c r="F9" s="21" t="s">
        <v>184</v>
      </c>
      <c r="G9" s="21" t="s">
        <v>7</v>
      </c>
      <c r="H9" s="21" t="s">
        <v>18</v>
      </c>
      <c r="I9" s="21"/>
      <c r="J9" s="21" t="s">
        <v>185</v>
      </c>
      <c r="K9" s="21" t="s">
        <v>186</v>
      </c>
      <c r="L9" s="21" t="s">
        <v>187</v>
      </c>
      <c r="M9" s="21" t="s">
        <v>181</v>
      </c>
      <c r="N9" s="21" t="s">
        <v>188</v>
      </c>
    </row>
    <row r="10" customFormat="false" ht="25.5" hidden="false" customHeight="true" outlineLevel="0" collapsed="false">
      <c r="A10" s="20" t="s">
        <v>189</v>
      </c>
      <c r="B10" s="21" t="s">
        <v>48</v>
      </c>
      <c r="C10" s="21" t="s">
        <v>190</v>
      </c>
      <c r="D10" s="21" t="s">
        <v>191</v>
      </c>
      <c r="E10" s="21" t="s">
        <v>50</v>
      </c>
      <c r="F10" s="21" t="s">
        <v>192</v>
      </c>
      <c r="G10" s="21" t="s">
        <v>193</v>
      </c>
      <c r="H10" s="21" t="s">
        <v>18</v>
      </c>
      <c r="I10" s="22"/>
      <c r="J10" s="21" t="s">
        <v>194</v>
      </c>
      <c r="K10" s="21" t="s">
        <v>195</v>
      </c>
      <c r="L10" s="21" t="s">
        <v>196</v>
      </c>
      <c r="M10" s="21" t="s">
        <v>189</v>
      </c>
      <c r="N10" s="21" t="s">
        <v>197</v>
      </c>
    </row>
    <row r="11" customFormat="false" ht="25.5" hidden="false" customHeight="true" outlineLevel="0" collapsed="false">
      <c r="A11" s="20" t="s">
        <v>198</v>
      </c>
      <c r="B11" s="21" t="s">
        <v>48</v>
      </c>
      <c r="C11" s="21" t="s">
        <v>199</v>
      </c>
      <c r="D11" s="21" t="s">
        <v>200</v>
      </c>
      <c r="E11" s="21" t="s">
        <v>50</v>
      </c>
      <c r="F11" s="21" t="s">
        <v>201</v>
      </c>
      <c r="G11" s="21" t="s">
        <v>7</v>
      </c>
      <c r="H11" s="21" t="s">
        <v>18</v>
      </c>
      <c r="I11" s="21"/>
      <c r="J11" s="21" t="s">
        <v>202</v>
      </c>
      <c r="K11" s="21" t="s">
        <v>203</v>
      </c>
      <c r="L11" s="21" t="s">
        <v>204</v>
      </c>
      <c r="M11" s="21" t="s">
        <v>198</v>
      </c>
      <c r="N11" s="21" t="s">
        <v>188</v>
      </c>
    </row>
    <row r="12" customFormat="false" ht="25.5" hidden="false" customHeight="true" outlineLevel="0" collapsed="false">
      <c r="A12" s="20" t="s">
        <v>205</v>
      </c>
      <c r="B12" s="21" t="s">
        <v>58</v>
      </c>
      <c r="C12" s="21" t="s">
        <v>150</v>
      </c>
      <c r="D12" s="21" t="s">
        <v>151</v>
      </c>
      <c r="E12" s="21" t="s">
        <v>50</v>
      </c>
      <c r="F12" s="21" t="s">
        <v>152</v>
      </c>
      <c r="G12" s="21" t="s">
        <v>3</v>
      </c>
      <c r="H12" s="21" t="s">
        <v>12</v>
      </c>
      <c r="I12" s="22" t="n">
        <v>46286</v>
      </c>
      <c r="J12" s="21" t="s">
        <v>206</v>
      </c>
      <c r="K12" s="21" t="s">
        <v>207</v>
      </c>
      <c r="L12" s="21" t="s">
        <v>208</v>
      </c>
      <c r="M12" s="21" t="s">
        <v>209</v>
      </c>
      <c r="N12" s="21"/>
    </row>
    <row r="13" customFormat="false" ht="25.5" hidden="false" customHeight="true" outlineLevel="0" collapsed="false">
      <c r="A13" s="20" t="s">
        <v>210</v>
      </c>
      <c r="B13" s="21" t="s">
        <v>58</v>
      </c>
      <c r="C13" s="21" t="s">
        <v>211</v>
      </c>
      <c r="D13" s="21" t="s">
        <v>212</v>
      </c>
      <c r="E13" s="21" t="s">
        <v>50</v>
      </c>
      <c r="F13" s="21" t="s">
        <v>184</v>
      </c>
      <c r="G13" s="21" t="s">
        <v>3</v>
      </c>
      <c r="H13" s="21" t="s">
        <v>12</v>
      </c>
      <c r="I13" s="22" t="n">
        <v>46286</v>
      </c>
      <c r="J13" s="21" t="s">
        <v>213</v>
      </c>
      <c r="K13" s="21" t="s">
        <v>214</v>
      </c>
      <c r="L13" s="21" t="s">
        <v>215</v>
      </c>
      <c r="M13" s="21" t="s">
        <v>210</v>
      </c>
      <c r="N13" s="21"/>
    </row>
    <row r="14" customFormat="false" ht="25.5" hidden="false" customHeight="true" outlineLevel="0" collapsed="false">
      <c r="A14" s="20" t="s">
        <v>216</v>
      </c>
      <c r="B14" s="21" t="s">
        <v>58</v>
      </c>
      <c r="C14" s="21" t="s">
        <v>217</v>
      </c>
      <c r="D14" s="21" t="s">
        <v>218</v>
      </c>
      <c r="E14" s="21" t="s">
        <v>50</v>
      </c>
      <c r="F14" s="21" t="s">
        <v>184</v>
      </c>
      <c r="G14" s="21" t="s">
        <v>3</v>
      </c>
      <c r="H14" s="21" t="s">
        <v>12</v>
      </c>
      <c r="I14" s="22" t="n">
        <v>46286</v>
      </c>
      <c r="J14" s="21" t="s">
        <v>219</v>
      </c>
      <c r="K14" s="21" t="s">
        <v>220</v>
      </c>
      <c r="L14" s="21" t="s">
        <v>221</v>
      </c>
      <c r="M14" s="21" t="s">
        <v>216</v>
      </c>
      <c r="N14" s="21" t="s">
        <v>222</v>
      </c>
    </row>
    <row r="15" customFormat="false" ht="38.25" hidden="false" customHeight="true" outlineLevel="0" collapsed="false">
      <c r="A15" s="20" t="s">
        <v>223</v>
      </c>
      <c r="B15" s="21" t="s">
        <v>58</v>
      </c>
      <c r="C15" s="21" t="s">
        <v>224</v>
      </c>
      <c r="D15" s="21" t="s">
        <v>225</v>
      </c>
      <c r="E15" s="21" t="s">
        <v>50</v>
      </c>
      <c r="F15" s="21" t="s">
        <v>184</v>
      </c>
      <c r="G15" s="21" t="s">
        <v>3</v>
      </c>
      <c r="H15" s="21" t="s">
        <v>12</v>
      </c>
      <c r="I15" s="22" t="n">
        <v>46286</v>
      </c>
      <c r="J15" s="21" t="s">
        <v>226</v>
      </c>
      <c r="K15" s="21" t="s">
        <v>227</v>
      </c>
      <c r="L15" s="21" t="s">
        <v>228</v>
      </c>
      <c r="M15" s="21" t="s">
        <v>229</v>
      </c>
      <c r="N15" s="21" t="s">
        <v>230</v>
      </c>
    </row>
    <row r="16" customFormat="false" ht="38.25" hidden="false" customHeight="true" outlineLevel="0" collapsed="false">
      <c r="A16" s="20" t="s">
        <v>231</v>
      </c>
      <c r="B16" s="21" t="s">
        <v>58</v>
      </c>
      <c r="C16" s="21" t="s">
        <v>232</v>
      </c>
      <c r="D16" s="21" t="s">
        <v>233</v>
      </c>
      <c r="E16" s="21" t="s">
        <v>50</v>
      </c>
      <c r="F16" s="21" t="s">
        <v>184</v>
      </c>
      <c r="G16" s="21" t="s">
        <v>3</v>
      </c>
      <c r="H16" s="21" t="s">
        <v>12</v>
      </c>
      <c r="I16" s="22" t="n">
        <v>46286</v>
      </c>
      <c r="J16" s="21" t="s">
        <v>234</v>
      </c>
      <c r="K16" s="21" t="s">
        <v>235</v>
      </c>
      <c r="L16" s="21" t="s">
        <v>236</v>
      </c>
      <c r="M16" s="21" t="s">
        <v>237</v>
      </c>
      <c r="N16" s="21"/>
    </row>
    <row r="17" customFormat="false" ht="38.25" hidden="false" customHeight="true" outlineLevel="0" collapsed="false">
      <c r="A17" s="20" t="s">
        <v>238</v>
      </c>
      <c r="B17" s="21" t="s">
        <v>58</v>
      </c>
      <c r="C17" s="21" t="s">
        <v>239</v>
      </c>
      <c r="D17" s="21" t="s">
        <v>240</v>
      </c>
      <c r="E17" s="21" t="s">
        <v>75</v>
      </c>
      <c r="F17" s="21" t="s">
        <v>184</v>
      </c>
      <c r="G17" s="21" t="s">
        <v>3</v>
      </c>
      <c r="H17" s="21" t="s">
        <v>12</v>
      </c>
      <c r="I17" s="22" t="n">
        <v>46286</v>
      </c>
      <c r="J17" s="21" t="s">
        <v>241</v>
      </c>
      <c r="K17" s="21" t="s">
        <v>242</v>
      </c>
      <c r="L17" s="21" t="s">
        <v>243</v>
      </c>
      <c r="M17" s="21" t="s">
        <v>244</v>
      </c>
      <c r="N17" s="21" t="s">
        <v>245</v>
      </c>
    </row>
    <row r="18" customFormat="false" ht="38.25" hidden="false" customHeight="true" outlineLevel="0" collapsed="false">
      <c r="A18" s="20" t="s">
        <v>246</v>
      </c>
      <c r="B18" s="21" t="s">
        <v>58</v>
      </c>
      <c r="C18" s="21" t="s">
        <v>247</v>
      </c>
      <c r="D18" s="21" t="s">
        <v>248</v>
      </c>
      <c r="E18" s="21" t="s">
        <v>50</v>
      </c>
      <c r="F18" s="21" t="s">
        <v>249</v>
      </c>
      <c r="G18" s="21" t="s">
        <v>3</v>
      </c>
      <c r="H18" s="21" t="s">
        <v>12</v>
      </c>
      <c r="I18" s="22" t="n">
        <v>46286</v>
      </c>
      <c r="J18" s="21" t="s">
        <v>250</v>
      </c>
      <c r="K18" s="21" t="s">
        <v>251</v>
      </c>
      <c r="L18" s="21" t="s">
        <v>252</v>
      </c>
      <c r="M18" s="21" t="s">
        <v>246</v>
      </c>
      <c r="N18" s="21"/>
    </row>
    <row r="19" customFormat="false" ht="25.5" hidden="false" customHeight="true" outlineLevel="0" collapsed="false">
      <c r="A19" s="20" t="s">
        <v>253</v>
      </c>
      <c r="B19" s="21" t="s">
        <v>58</v>
      </c>
      <c r="C19" s="21" t="s">
        <v>254</v>
      </c>
      <c r="D19" s="21" t="s">
        <v>255</v>
      </c>
      <c r="E19" s="21" t="s">
        <v>75</v>
      </c>
      <c r="F19" s="21" t="s">
        <v>201</v>
      </c>
      <c r="G19" s="21" t="s">
        <v>3</v>
      </c>
      <c r="H19" s="21" t="s">
        <v>12</v>
      </c>
      <c r="I19" s="22" t="n">
        <v>46286</v>
      </c>
      <c r="J19" s="21" t="s">
        <v>256</v>
      </c>
      <c r="K19" s="21" t="s">
        <v>257</v>
      </c>
      <c r="L19" s="21" t="s">
        <v>258</v>
      </c>
      <c r="M19" s="21" t="s">
        <v>253</v>
      </c>
      <c r="N19" s="21"/>
    </row>
    <row r="20" customFormat="false" ht="25.5" hidden="false" customHeight="true" outlineLevel="0" collapsed="false">
      <c r="A20" s="20" t="s">
        <v>259</v>
      </c>
      <c r="B20" s="21" t="s">
        <v>66</v>
      </c>
      <c r="C20" s="21" t="s">
        <v>150</v>
      </c>
      <c r="D20" s="21" t="s">
        <v>151</v>
      </c>
      <c r="E20" s="21" t="s">
        <v>50</v>
      </c>
      <c r="F20" s="21" t="s">
        <v>152</v>
      </c>
      <c r="G20" s="21" t="s">
        <v>3</v>
      </c>
      <c r="H20" s="21" t="s">
        <v>12</v>
      </c>
      <c r="I20" s="22" t="n">
        <v>46286</v>
      </c>
      <c r="J20" s="21" t="s">
        <v>260</v>
      </c>
      <c r="K20" s="21" t="s">
        <v>207</v>
      </c>
      <c r="L20" s="21" t="s">
        <v>261</v>
      </c>
      <c r="M20" s="21" t="s">
        <v>262</v>
      </c>
      <c r="N20" s="21"/>
    </row>
    <row r="21" customFormat="false" ht="15" hidden="false" customHeight="true" outlineLevel="0" collapsed="false">
      <c r="A21" s="20" t="s">
        <v>263</v>
      </c>
      <c r="B21" s="21" t="s">
        <v>66</v>
      </c>
      <c r="C21" s="21" t="s">
        <v>211</v>
      </c>
      <c r="D21" s="21" t="s">
        <v>212</v>
      </c>
      <c r="E21" s="21" t="s">
        <v>50</v>
      </c>
      <c r="F21" s="21" t="s">
        <v>264</v>
      </c>
      <c r="G21" s="21" t="s">
        <v>3</v>
      </c>
      <c r="H21" s="21" t="s">
        <v>12</v>
      </c>
      <c r="I21" s="22" t="n">
        <v>46286</v>
      </c>
      <c r="J21" s="21" t="s">
        <v>265</v>
      </c>
      <c r="K21" s="21" t="s">
        <v>214</v>
      </c>
      <c r="L21" s="21" t="s">
        <v>266</v>
      </c>
      <c r="M21" s="21" t="s">
        <v>263</v>
      </c>
      <c r="N21" s="21"/>
    </row>
    <row r="22" customFormat="false" ht="38.25" hidden="false" customHeight="true" outlineLevel="0" collapsed="false">
      <c r="A22" s="20" t="s">
        <v>267</v>
      </c>
      <c r="B22" s="21" t="s">
        <v>66</v>
      </c>
      <c r="C22" s="21" t="s">
        <v>224</v>
      </c>
      <c r="D22" s="21" t="s">
        <v>225</v>
      </c>
      <c r="E22" s="21" t="s">
        <v>50</v>
      </c>
      <c r="F22" s="21" t="s">
        <v>184</v>
      </c>
      <c r="G22" s="21" t="s">
        <v>3</v>
      </c>
      <c r="H22" s="21" t="s">
        <v>12</v>
      </c>
      <c r="I22" s="22" t="n">
        <v>46286</v>
      </c>
      <c r="J22" s="21" t="s">
        <v>268</v>
      </c>
      <c r="K22" s="21" t="s">
        <v>227</v>
      </c>
      <c r="L22" s="21" t="s">
        <v>269</v>
      </c>
      <c r="M22" s="21" t="s">
        <v>270</v>
      </c>
      <c r="N22" s="21"/>
    </row>
    <row r="23" customFormat="false" ht="25.5" hidden="false" customHeight="true" outlineLevel="0" collapsed="false">
      <c r="A23" s="20" t="s">
        <v>271</v>
      </c>
      <c r="B23" s="21" t="s">
        <v>66</v>
      </c>
      <c r="C23" s="21" t="s">
        <v>199</v>
      </c>
      <c r="D23" s="21" t="s">
        <v>272</v>
      </c>
      <c r="E23" s="21" t="s">
        <v>50</v>
      </c>
      <c r="F23" s="21" t="s">
        <v>201</v>
      </c>
      <c r="G23" s="21" t="s">
        <v>3</v>
      </c>
      <c r="H23" s="21" t="s">
        <v>12</v>
      </c>
      <c r="I23" s="22" t="n">
        <v>46286</v>
      </c>
      <c r="J23" s="21" t="s">
        <v>273</v>
      </c>
      <c r="K23" s="21" t="s">
        <v>203</v>
      </c>
      <c r="L23" s="21" t="s">
        <v>274</v>
      </c>
      <c r="M23" s="21" t="s">
        <v>271</v>
      </c>
      <c r="N23" s="21"/>
    </row>
    <row r="24" customFormat="false" ht="51" hidden="false" customHeight="true" outlineLevel="0" collapsed="false">
      <c r="A24" s="20" t="s">
        <v>275</v>
      </c>
      <c r="B24" s="21" t="s">
        <v>73</v>
      </c>
      <c r="C24" s="21" t="s">
        <v>150</v>
      </c>
      <c r="D24" s="21" t="s">
        <v>151</v>
      </c>
      <c r="E24" s="21" t="s">
        <v>75</v>
      </c>
      <c r="F24" s="21" t="s">
        <v>264</v>
      </c>
      <c r="G24" s="21" t="s">
        <v>3</v>
      </c>
      <c r="H24" s="21" t="s">
        <v>15</v>
      </c>
      <c r="I24" s="22"/>
      <c r="J24" s="21" t="s">
        <v>276</v>
      </c>
      <c r="K24" s="21" t="s">
        <v>277</v>
      </c>
      <c r="L24" s="21" t="s">
        <v>278</v>
      </c>
      <c r="M24" s="21" t="s">
        <v>279</v>
      </c>
      <c r="N24" s="21" t="s">
        <v>280</v>
      </c>
    </row>
    <row r="25" customFormat="false" ht="15" hidden="false" customHeight="true" outlineLevel="0" collapsed="false">
      <c r="A25" s="20" t="s">
        <v>281</v>
      </c>
      <c r="B25" s="21" t="s">
        <v>73</v>
      </c>
      <c r="C25" s="21" t="s">
        <v>282</v>
      </c>
      <c r="D25" s="21" t="s">
        <v>212</v>
      </c>
      <c r="E25" s="21" t="s">
        <v>75</v>
      </c>
      <c r="F25" s="21" t="s">
        <v>264</v>
      </c>
      <c r="G25" s="21" t="s">
        <v>3</v>
      </c>
      <c r="H25" s="21" t="s">
        <v>22</v>
      </c>
      <c r="I25" s="21"/>
      <c r="J25" s="21" t="s">
        <v>170</v>
      </c>
      <c r="K25" s="21" t="s">
        <v>283</v>
      </c>
      <c r="L25" s="21" t="s">
        <v>284</v>
      </c>
      <c r="M25" s="21" t="s">
        <v>281</v>
      </c>
      <c r="N25" s="21"/>
    </row>
    <row r="26" customFormat="false" ht="25.5" hidden="false" customHeight="true" outlineLevel="0" collapsed="false">
      <c r="A26" s="20" t="s">
        <v>285</v>
      </c>
      <c r="B26" s="21" t="s">
        <v>73</v>
      </c>
      <c r="C26" s="21" t="s">
        <v>286</v>
      </c>
      <c r="D26" s="21" t="s">
        <v>287</v>
      </c>
      <c r="E26" s="21" t="s">
        <v>125</v>
      </c>
      <c r="F26" s="21" t="s">
        <v>264</v>
      </c>
      <c r="G26" s="21" t="s">
        <v>3</v>
      </c>
      <c r="H26" s="21" t="s">
        <v>15</v>
      </c>
      <c r="I26" s="22"/>
      <c r="J26" s="21" t="s">
        <v>288</v>
      </c>
      <c r="K26" s="21" t="s">
        <v>289</v>
      </c>
      <c r="L26" s="21" t="s">
        <v>290</v>
      </c>
      <c r="M26" s="21" t="s">
        <v>285</v>
      </c>
      <c r="N26" s="21" t="s">
        <v>291</v>
      </c>
    </row>
    <row r="27" customFormat="false" ht="38.25" hidden="false" customHeight="true" outlineLevel="0" collapsed="false">
      <c r="A27" s="20" t="s">
        <v>292</v>
      </c>
      <c r="B27" s="21" t="s">
        <v>82</v>
      </c>
      <c r="C27" s="21" t="s">
        <v>293</v>
      </c>
      <c r="D27" s="21" t="s">
        <v>294</v>
      </c>
      <c r="E27" s="21" t="s">
        <v>50</v>
      </c>
      <c r="F27" s="21" t="s">
        <v>264</v>
      </c>
      <c r="G27" s="21" t="s">
        <v>3</v>
      </c>
      <c r="H27" s="21" t="s">
        <v>22</v>
      </c>
      <c r="I27" s="21"/>
      <c r="J27" s="21" t="s">
        <v>170</v>
      </c>
      <c r="K27" s="21" t="s">
        <v>295</v>
      </c>
      <c r="L27" s="21" t="s">
        <v>296</v>
      </c>
      <c r="M27" s="21" t="s">
        <v>292</v>
      </c>
      <c r="N27" s="21"/>
    </row>
    <row r="28" customFormat="false" ht="51" hidden="false" customHeight="true" outlineLevel="0" collapsed="false">
      <c r="A28" s="20" t="s">
        <v>297</v>
      </c>
      <c r="B28" s="21" t="s">
        <v>82</v>
      </c>
      <c r="C28" s="21" t="s">
        <v>150</v>
      </c>
      <c r="D28" s="21" t="s">
        <v>151</v>
      </c>
      <c r="E28" s="21" t="s">
        <v>50</v>
      </c>
      <c r="F28" s="21" t="s">
        <v>264</v>
      </c>
      <c r="G28" s="21" t="s">
        <v>3</v>
      </c>
      <c r="H28" s="21" t="s">
        <v>12</v>
      </c>
      <c r="I28" s="22" t="n">
        <v>46286</v>
      </c>
      <c r="J28" s="21" t="s">
        <v>298</v>
      </c>
      <c r="K28" s="21" t="s">
        <v>277</v>
      </c>
      <c r="L28" s="21" t="s">
        <v>299</v>
      </c>
      <c r="M28" s="21" t="s">
        <v>300</v>
      </c>
      <c r="N28" s="21" t="s">
        <v>301</v>
      </c>
    </row>
    <row r="29" customFormat="false" ht="38.25" hidden="false" customHeight="true" outlineLevel="0" collapsed="false">
      <c r="A29" s="20" t="s">
        <v>302</v>
      </c>
      <c r="B29" s="21" t="s">
        <v>82</v>
      </c>
      <c r="C29" s="21" t="s">
        <v>303</v>
      </c>
      <c r="D29" s="21" t="s">
        <v>304</v>
      </c>
      <c r="E29" s="21" t="s">
        <v>50</v>
      </c>
      <c r="F29" s="21" t="s">
        <v>264</v>
      </c>
      <c r="G29" s="21" t="s">
        <v>3</v>
      </c>
      <c r="H29" s="21" t="s">
        <v>22</v>
      </c>
      <c r="I29" s="21"/>
      <c r="J29" s="21" t="s">
        <v>305</v>
      </c>
      <c r="K29" s="21" t="s">
        <v>306</v>
      </c>
      <c r="L29" s="21" t="s">
        <v>307</v>
      </c>
      <c r="M29" s="21" t="s">
        <v>302</v>
      </c>
      <c r="N29" s="21" t="s">
        <v>308</v>
      </c>
    </row>
    <row r="30" customFormat="false" ht="25.5" hidden="false" customHeight="true" outlineLevel="0" collapsed="false">
      <c r="A30" s="20" t="s">
        <v>309</v>
      </c>
      <c r="B30" s="21" t="s">
        <v>82</v>
      </c>
      <c r="C30" s="21" t="s">
        <v>310</v>
      </c>
      <c r="D30" s="21" t="s">
        <v>311</v>
      </c>
      <c r="E30" s="21" t="s">
        <v>50</v>
      </c>
      <c r="F30" s="21" t="s">
        <v>264</v>
      </c>
      <c r="G30" s="21" t="s">
        <v>3</v>
      </c>
      <c r="H30" s="21" t="s">
        <v>12</v>
      </c>
      <c r="I30" s="22" t="n">
        <v>46286</v>
      </c>
      <c r="J30" s="21" t="s">
        <v>312</v>
      </c>
      <c r="K30" s="21" t="s">
        <v>313</v>
      </c>
      <c r="L30" s="21" t="s">
        <v>314</v>
      </c>
      <c r="M30" s="21" t="s">
        <v>309</v>
      </c>
      <c r="N30" s="21"/>
    </row>
    <row r="31" customFormat="false" ht="25.5" hidden="false" customHeight="true" outlineLevel="0" collapsed="false">
      <c r="A31" s="20" t="s">
        <v>315</v>
      </c>
      <c r="B31" s="21" t="s">
        <v>82</v>
      </c>
      <c r="C31" s="21" t="s">
        <v>316</v>
      </c>
      <c r="D31" s="21" t="s">
        <v>317</v>
      </c>
      <c r="E31" s="21" t="s">
        <v>50</v>
      </c>
      <c r="F31" s="21" t="s">
        <v>264</v>
      </c>
      <c r="G31" s="21" t="s">
        <v>3</v>
      </c>
      <c r="H31" s="21" t="s">
        <v>12</v>
      </c>
      <c r="I31" s="22" t="n">
        <v>46286</v>
      </c>
      <c r="J31" s="21" t="s">
        <v>318</v>
      </c>
      <c r="K31" s="21" t="s">
        <v>319</v>
      </c>
      <c r="L31" s="21" t="s">
        <v>320</v>
      </c>
      <c r="M31" s="21" t="s">
        <v>315</v>
      </c>
      <c r="N31" s="21" t="s">
        <v>321</v>
      </c>
    </row>
    <row r="32" customFormat="false" ht="25.5" hidden="false" customHeight="true" outlineLevel="0" collapsed="false">
      <c r="A32" s="20" t="s">
        <v>322</v>
      </c>
      <c r="B32" s="21" t="s">
        <v>82</v>
      </c>
      <c r="C32" s="21" t="s">
        <v>199</v>
      </c>
      <c r="D32" s="21" t="s">
        <v>323</v>
      </c>
      <c r="E32" s="21" t="s">
        <v>50</v>
      </c>
      <c r="F32" s="21" t="s">
        <v>201</v>
      </c>
      <c r="G32" s="21" t="s">
        <v>3</v>
      </c>
      <c r="H32" s="21" t="s">
        <v>12</v>
      </c>
      <c r="I32" s="22" t="n">
        <v>46286</v>
      </c>
      <c r="J32" s="21" t="s">
        <v>324</v>
      </c>
      <c r="K32" s="21" t="s">
        <v>203</v>
      </c>
      <c r="L32" s="21" t="s">
        <v>325</v>
      </c>
      <c r="M32" s="21" t="s">
        <v>322</v>
      </c>
      <c r="N32" s="21"/>
    </row>
    <row r="33" customFormat="false" ht="38.25" hidden="false" customHeight="true" outlineLevel="0" collapsed="false">
      <c r="A33" s="20" t="s">
        <v>326</v>
      </c>
      <c r="B33" s="21" t="s">
        <v>89</v>
      </c>
      <c r="C33" s="21" t="s">
        <v>293</v>
      </c>
      <c r="D33" s="21" t="s">
        <v>294</v>
      </c>
      <c r="E33" s="21" t="s">
        <v>50</v>
      </c>
      <c r="F33" s="21" t="s">
        <v>264</v>
      </c>
      <c r="G33" s="21" t="s">
        <v>3</v>
      </c>
      <c r="H33" s="21" t="s">
        <v>22</v>
      </c>
      <c r="I33" s="21"/>
      <c r="J33" s="21" t="s">
        <v>170</v>
      </c>
      <c r="K33" s="21" t="s">
        <v>295</v>
      </c>
      <c r="L33" s="21" t="s">
        <v>327</v>
      </c>
      <c r="M33" s="21" t="s">
        <v>326</v>
      </c>
      <c r="N33" s="21"/>
    </row>
    <row r="34" customFormat="false" ht="38.25" hidden="false" customHeight="true" outlineLevel="0" collapsed="false">
      <c r="A34" s="20" t="s">
        <v>328</v>
      </c>
      <c r="B34" s="21" t="s">
        <v>89</v>
      </c>
      <c r="C34" s="21" t="s">
        <v>329</v>
      </c>
      <c r="D34" s="21" t="s">
        <v>330</v>
      </c>
      <c r="E34" s="21" t="s">
        <v>50</v>
      </c>
      <c r="F34" s="21" t="s">
        <v>264</v>
      </c>
      <c r="G34" s="21" t="s">
        <v>3</v>
      </c>
      <c r="H34" s="21" t="s">
        <v>18</v>
      </c>
      <c r="I34" s="22"/>
      <c r="J34" s="21" t="s">
        <v>331</v>
      </c>
      <c r="K34" s="21" t="s">
        <v>332</v>
      </c>
      <c r="L34" s="21" t="s">
        <v>333</v>
      </c>
      <c r="M34" s="21" t="s">
        <v>334</v>
      </c>
      <c r="N34" s="21" t="s">
        <v>335</v>
      </c>
    </row>
    <row r="35" customFormat="false" ht="89.25" hidden="false" customHeight="true" outlineLevel="0" collapsed="false">
      <c r="A35" s="20" t="s">
        <v>336</v>
      </c>
      <c r="B35" s="21" t="s">
        <v>89</v>
      </c>
      <c r="C35" s="21" t="s">
        <v>337</v>
      </c>
      <c r="D35" s="21" t="s">
        <v>338</v>
      </c>
      <c r="E35" s="21" t="s">
        <v>75</v>
      </c>
      <c r="F35" s="21" t="s">
        <v>264</v>
      </c>
      <c r="G35" s="21" t="s">
        <v>3</v>
      </c>
      <c r="H35" s="21" t="s">
        <v>22</v>
      </c>
      <c r="I35" s="22"/>
      <c r="J35" s="21" t="s">
        <v>339</v>
      </c>
      <c r="K35" s="21" t="s">
        <v>340</v>
      </c>
      <c r="L35" s="21" t="s">
        <v>341</v>
      </c>
      <c r="M35" s="21" t="s">
        <v>336</v>
      </c>
      <c r="N35" s="21" t="s">
        <v>342</v>
      </c>
    </row>
    <row r="36" customFormat="false" ht="25.5" hidden="false" customHeight="true" outlineLevel="0" collapsed="false">
      <c r="A36" s="20" t="s">
        <v>343</v>
      </c>
      <c r="B36" s="21" t="s">
        <v>89</v>
      </c>
      <c r="C36" s="21" t="s">
        <v>344</v>
      </c>
      <c r="D36" s="21" t="s">
        <v>345</v>
      </c>
      <c r="E36" s="21" t="s">
        <v>50</v>
      </c>
      <c r="F36" s="21" t="s">
        <v>201</v>
      </c>
      <c r="G36" s="21" t="s">
        <v>3</v>
      </c>
      <c r="H36" s="21" t="s">
        <v>18</v>
      </c>
      <c r="I36" s="22"/>
      <c r="J36" s="21" t="s">
        <v>346</v>
      </c>
      <c r="K36" s="21" t="s">
        <v>347</v>
      </c>
      <c r="L36" s="21" t="s">
        <v>348</v>
      </c>
      <c r="M36" s="21" t="s">
        <v>343</v>
      </c>
      <c r="N36" s="21" t="s">
        <v>335</v>
      </c>
    </row>
    <row r="37" customFormat="false" ht="38.25" hidden="false" customHeight="true" outlineLevel="0" collapsed="false">
      <c r="A37" s="20" t="s">
        <v>349</v>
      </c>
      <c r="B37" s="21" t="s">
        <v>97</v>
      </c>
      <c r="C37" s="21" t="s">
        <v>293</v>
      </c>
      <c r="D37" s="21" t="s">
        <v>294</v>
      </c>
      <c r="E37" s="21" t="s">
        <v>75</v>
      </c>
      <c r="F37" s="21" t="s">
        <v>264</v>
      </c>
      <c r="G37" s="21" t="s">
        <v>3</v>
      </c>
      <c r="H37" s="21" t="s">
        <v>20</v>
      </c>
      <c r="I37" s="21"/>
      <c r="J37" s="21" t="s">
        <v>350</v>
      </c>
      <c r="K37" s="21" t="s">
        <v>295</v>
      </c>
      <c r="L37" s="21" t="s">
        <v>351</v>
      </c>
      <c r="M37" s="21" t="s">
        <v>349</v>
      </c>
      <c r="N37" s="21"/>
    </row>
    <row r="38" customFormat="false" ht="38.25" hidden="false" customHeight="true" outlineLevel="0" collapsed="false">
      <c r="A38" s="20" t="s">
        <v>352</v>
      </c>
      <c r="B38" s="21" t="s">
        <v>97</v>
      </c>
      <c r="C38" s="21" t="s">
        <v>353</v>
      </c>
      <c r="D38" s="21" t="s">
        <v>354</v>
      </c>
      <c r="E38" s="21" t="s">
        <v>75</v>
      </c>
      <c r="F38" s="21" t="s">
        <v>264</v>
      </c>
      <c r="G38" s="21" t="s">
        <v>3</v>
      </c>
      <c r="H38" s="21" t="s">
        <v>20</v>
      </c>
      <c r="I38" s="21"/>
      <c r="J38" s="21" t="s">
        <v>350</v>
      </c>
      <c r="K38" s="21" t="s">
        <v>355</v>
      </c>
      <c r="L38" s="21" t="s">
        <v>356</v>
      </c>
      <c r="M38" s="21" t="s">
        <v>352</v>
      </c>
      <c r="N38" s="21"/>
    </row>
    <row r="39" customFormat="false" ht="25.5" hidden="false" customHeight="true" outlineLevel="0" collapsed="false">
      <c r="A39" s="20" t="s">
        <v>357</v>
      </c>
      <c r="B39" s="21" t="s">
        <v>97</v>
      </c>
      <c r="C39" s="21" t="s">
        <v>358</v>
      </c>
      <c r="D39" s="21" t="s">
        <v>359</v>
      </c>
      <c r="E39" s="21" t="s">
        <v>75</v>
      </c>
      <c r="F39" s="21" t="s">
        <v>201</v>
      </c>
      <c r="G39" s="21" t="s">
        <v>3</v>
      </c>
      <c r="H39" s="21" t="s">
        <v>20</v>
      </c>
      <c r="I39" s="21"/>
      <c r="J39" s="21" t="s">
        <v>360</v>
      </c>
      <c r="K39" s="21" t="s">
        <v>347</v>
      </c>
      <c r="L39" s="21" t="s">
        <v>361</v>
      </c>
      <c r="M39" s="21" t="s">
        <v>357</v>
      </c>
      <c r="N39" s="21"/>
    </row>
    <row r="40" customFormat="false" ht="25.5" hidden="false" customHeight="true" outlineLevel="0" collapsed="false">
      <c r="A40" s="20" t="s">
        <v>362</v>
      </c>
      <c r="B40" s="21" t="s">
        <v>104</v>
      </c>
      <c r="C40" s="21" t="s">
        <v>363</v>
      </c>
      <c r="D40" s="21" t="s">
        <v>364</v>
      </c>
      <c r="E40" s="21" t="s">
        <v>50</v>
      </c>
      <c r="F40" s="21" t="s">
        <v>264</v>
      </c>
      <c r="G40" s="21" t="s">
        <v>3</v>
      </c>
      <c r="H40" s="21" t="s">
        <v>20</v>
      </c>
      <c r="I40" s="21"/>
      <c r="J40" s="21" t="s">
        <v>365</v>
      </c>
      <c r="K40" s="21" t="s">
        <v>366</v>
      </c>
      <c r="L40" s="21" t="s">
        <v>367</v>
      </c>
      <c r="M40" s="21" t="s">
        <v>362</v>
      </c>
      <c r="N40" s="21"/>
    </row>
    <row r="41" customFormat="false" ht="25.5" hidden="false" customHeight="true" outlineLevel="0" collapsed="false">
      <c r="A41" s="20" t="s">
        <v>368</v>
      </c>
      <c r="B41" s="21" t="s">
        <v>104</v>
      </c>
      <c r="C41" s="21" t="s">
        <v>310</v>
      </c>
      <c r="D41" s="21" t="s">
        <v>311</v>
      </c>
      <c r="E41" s="21" t="s">
        <v>50</v>
      </c>
      <c r="F41" s="21" t="s">
        <v>264</v>
      </c>
      <c r="G41" s="21" t="s">
        <v>3</v>
      </c>
      <c r="H41" s="21" t="s">
        <v>20</v>
      </c>
      <c r="I41" s="21"/>
      <c r="J41" s="21" t="s">
        <v>369</v>
      </c>
      <c r="K41" s="21" t="s">
        <v>370</v>
      </c>
      <c r="L41" s="21" t="s">
        <v>371</v>
      </c>
      <c r="M41" s="21" t="s">
        <v>368</v>
      </c>
      <c r="N41" s="21"/>
    </row>
    <row r="42" customFormat="false" ht="38.25" hidden="false" customHeight="true" outlineLevel="0" collapsed="false">
      <c r="A42" s="20" t="s">
        <v>372</v>
      </c>
      <c r="B42" s="21" t="s">
        <v>104</v>
      </c>
      <c r="C42" s="21" t="s">
        <v>293</v>
      </c>
      <c r="D42" s="21" t="s">
        <v>294</v>
      </c>
      <c r="E42" s="21" t="s">
        <v>50</v>
      </c>
      <c r="F42" s="21" t="s">
        <v>264</v>
      </c>
      <c r="G42" s="21" t="s">
        <v>3</v>
      </c>
      <c r="H42" s="21" t="s">
        <v>20</v>
      </c>
      <c r="I42" s="21"/>
      <c r="J42" s="21" t="s">
        <v>365</v>
      </c>
      <c r="K42" s="21" t="s">
        <v>295</v>
      </c>
      <c r="L42" s="21" t="s">
        <v>373</v>
      </c>
      <c r="M42" s="21" t="s">
        <v>372</v>
      </c>
      <c r="N42" s="21"/>
    </row>
    <row r="43" customFormat="false" ht="38.25" hidden="false" customHeight="true" outlineLevel="0" collapsed="false">
      <c r="A43" s="20" t="s">
        <v>374</v>
      </c>
      <c r="B43" s="21" t="s">
        <v>104</v>
      </c>
      <c r="C43" s="21" t="s">
        <v>353</v>
      </c>
      <c r="D43" s="21" t="s">
        <v>375</v>
      </c>
      <c r="E43" s="21" t="s">
        <v>50</v>
      </c>
      <c r="F43" s="21" t="s">
        <v>264</v>
      </c>
      <c r="G43" s="21" t="s">
        <v>3</v>
      </c>
      <c r="H43" s="21" t="s">
        <v>20</v>
      </c>
      <c r="I43" s="21"/>
      <c r="J43" s="21" t="s">
        <v>376</v>
      </c>
      <c r="K43" s="21" t="s">
        <v>355</v>
      </c>
      <c r="L43" s="21" t="s">
        <v>377</v>
      </c>
      <c r="M43" s="21" t="s">
        <v>374</v>
      </c>
      <c r="N43" s="21"/>
    </row>
    <row r="44" customFormat="false" ht="25.5" hidden="false" customHeight="true" outlineLevel="0" collapsed="false">
      <c r="A44" s="20" t="s">
        <v>378</v>
      </c>
      <c r="B44" s="21" t="s">
        <v>104</v>
      </c>
      <c r="C44" s="21" t="s">
        <v>379</v>
      </c>
      <c r="D44" s="21" t="s">
        <v>380</v>
      </c>
      <c r="E44" s="21" t="s">
        <v>50</v>
      </c>
      <c r="F44" s="21" t="s">
        <v>264</v>
      </c>
      <c r="G44" s="21" t="s">
        <v>3</v>
      </c>
      <c r="H44" s="21" t="s">
        <v>20</v>
      </c>
      <c r="I44" s="21"/>
      <c r="J44" s="21" t="s">
        <v>381</v>
      </c>
      <c r="K44" s="21" t="s">
        <v>382</v>
      </c>
      <c r="L44" s="21" t="s">
        <v>383</v>
      </c>
      <c r="M44" s="21" t="s">
        <v>378</v>
      </c>
      <c r="N44" s="21"/>
    </row>
    <row r="45" customFormat="false" ht="25.5" hidden="false" customHeight="true" outlineLevel="0" collapsed="false">
      <c r="A45" s="20" t="s">
        <v>384</v>
      </c>
      <c r="B45" s="21" t="s">
        <v>104</v>
      </c>
      <c r="C45" s="21" t="s">
        <v>358</v>
      </c>
      <c r="D45" s="21" t="s">
        <v>385</v>
      </c>
      <c r="E45" s="21" t="s">
        <v>50</v>
      </c>
      <c r="F45" s="21" t="s">
        <v>201</v>
      </c>
      <c r="G45" s="21" t="s">
        <v>3</v>
      </c>
      <c r="H45" s="21" t="s">
        <v>20</v>
      </c>
      <c r="I45" s="21"/>
      <c r="J45" s="21" t="s">
        <v>386</v>
      </c>
      <c r="K45" s="21" t="s">
        <v>347</v>
      </c>
      <c r="L45" s="21" t="s">
        <v>361</v>
      </c>
      <c r="M45" s="21" t="s">
        <v>384</v>
      </c>
      <c r="N45" s="21"/>
    </row>
    <row r="46" customFormat="false" ht="25.5" hidden="false" customHeight="true" outlineLevel="0" collapsed="false">
      <c r="A46" s="20" t="s">
        <v>387</v>
      </c>
      <c r="B46" s="21" t="s">
        <v>110</v>
      </c>
      <c r="C46" s="21" t="s">
        <v>167</v>
      </c>
      <c r="D46" s="21" t="s">
        <v>168</v>
      </c>
      <c r="E46" s="21" t="s">
        <v>75</v>
      </c>
      <c r="F46" s="21" t="s">
        <v>264</v>
      </c>
      <c r="G46" s="21" t="s">
        <v>3</v>
      </c>
      <c r="H46" s="21" t="s">
        <v>12</v>
      </c>
      <c r="I46" s="22" t="n">
        <v>46286</v>
      </c>
      <c r="J46" s="21" t="s">
        <v>388</v>
      </c>
      <c r="K46" s="21" t="s">
        <v>171</v>
      </c>
      <c r="L46" s="21" t="s">
        <v>389</v>
      </c>
      <c r="M46" s="21" t="s">
        <v>387</v>
      </c>
      <c r="N46" s="21"/>
    </row>
    <row r="47" customFormat="false" ht="38.25" hidden="false" customHeight="true" outlineLevel="0" collapsed="false">
      <c r="A47" s="20" t="s">
        <v>390</v>
      </c>
      <c r="B47" s="21" t="s">
        <v>110</v>
      </c>
      <c r="C47" s="21" t="s">
        <v>391</v>
      </c>
      <c r="D47" s="21" t="s">
        <v>392</v>
      </c>
      <c r="E47" s="21" t="s">
        <v>75</v>
      </c>
      <c r="F47" s="21" t="s">
        <v>264</v>
      </c>
      <c r="G47" s="21" t="s">
        <v>3</v>
      </c>
      <c r="H47" s="21" t="s">
        <v>12</v>
      </c>
      <c r="I47" s="22" t="n">
        <v>46286</v>
      </c>
      <c r="J47" s="21" t="s">
        <v>393</v>
      </c>
      <c r="K47" s="21" t="s">
        <v>394</v>
      </c>
      <c r="L47" s="21" t="s">
        <v>395</v>
      </c>
      <c r="M47" s="21" t="s">
        <v>390</v>
      </c>
      <c r="N47" s="21"/>
    </row>
    <row r="48" customFormat="false" ht="25.5" hidden="false" customHeight="true" outlineLevel="0" collapsed="false">
      <c r="A48" s="20" t="s">
        <v>396</v>
      </c>
      <c r="B48" s="21" t="s">
        <v>110</v>
      </c>
      <c r="C48" s="21" t="s">
        <v>397</v>
      </c>
      <c r="D48" s="21" t="s">
        <v>398</v>
      </c>
      <c r="E48" s="21" t="s">
        <v>75</v>
      </c>
      <c r="F48" s="21" t="s">
        <v>264</v>
      </c>
      <c r="G48" s="21" t="s">
        <v>3</v>
      </c>
      <c r="H48" s="21" t="s">
        <v>12</v>
      </c>
      <c r="I48" s="22" t="n">
        <v>46286</v>
      </c>
      <c r="J48" s="21" t="s">
        <v>399</v>
      </c>
      <c r="K48" s="21" t="s">
        <v>400</v>
      </c>
      <c r="L48" s="21" t="s">
        <v>401</v>
      </c>
      <c r="M48" s="21" t="s">
        <v>396</v>
      </c>
      <c r="N48" s="21"/>
    </row>
    <row r="49" customFormat="false" ht="51" hidden="false" customHeight="true" outlineLevel="0" collapsed="false">
      <c r="A49" s="20" t="s">
        <v>402</v>
      </c>
      <c r="B49" s="21" t="s">
        <v>110</v>
      </c>
      <c r="C49" s="21" t="s">
        <v>150</v>
      </c>
      <c r="D49" s="21" t="s">
        <v>151</v>
      </c>
      <c r="E49" s="21" t="s">
        <v>75</v>
      </c>
      <c r="F49" s="21" t="s">
        <v>152</v>
      </c>
      <c r="G49" s="21" t="s">
        <v>3</v>
      </c>
      <c r="H49" s="21" t="s">
        <v>12</v>
      </c>
      <c r="I49" s="22" t="n">
        <v>46286</v>
      </c>
      <c r="J49" s="21" t="s">
        <v>403</v>
      </c>
      <c r="K49" s="21" t="s">
        <v>277</v>
      </c>
      <c r="L49" s="21" t="s">
        <v>404</v>
      </c>
      <c r="M49" s="21" t="s">
        <v>405</v>
      </c>
      <c r="N49" s="21"/>
    </row>
    <row r="50" customFormat="false" ht="25.5" hidden="false" customHeight="true" outlineLevel="0" collapsed="false">
      <c r="A50" s="20" t="s">
        <v>406</v>
      </c>
      <c r="B50" s="21" t="s">
        <v>110</v>
      </c>
      <c r="C50" s="21" t="s">
        <v>199</v>
      </c>
      <c r="D50" s="21" t="s">
        <v>407</v>
      </c>
      <c r="E50" s="21" t="s">
        <v>75</v>
      </c>
      <c r="F50" s="21" t="s">
        <v>201</v>
      </c>
      <c r="G50" s="21" t="s">
        <v>3</v>
      </c>
      <c r="H50" s="21" t="s">
        <v>12</v>
      </c>
      <c r="I50" s="22" t="n">
        <v>46286</v>
      </c>
      <c r="J50" s="21" t="s">
        <v>408</v>
      </c>
      <c r="K50" s="21" t="s">
        <v>203</v>
      </c>
      <c r="L50" s="21" t="s">
        <v>361</v>
      </c>
      <c r="M50" s="21" t="s">
        <v>406</v>
      </c>
      <c r="N50" s="21"/>
    </row>
    <row r="51" customFormat="false" ht="25.5" hidden="false" customHeight="true" outlineLevel="0" collapsed="false">
      <c r="A51" s="20" t="s">
        <v>409</v>
      </c>
      <c r="B51" s="21" t="s">
        <v>117</v>
      </c>
      <c r="C51" s="21" t="s">
        <v>410</v>
      </c>
      <c r="D51" s="21" t="s">
        <v>411</v>
      </c>
      <c r="E51" s="21" t="s">
        <v>50</v>
      </c>
      <c r="F51" s="21" t="s">
        <v>264</v>
      </c>
      <c r="G51" s="21" t="s">
        <v>3</v>
      </c>
      <c r="H51" s="21" t="s">
        <v>20</v>
      </c>
      <c r="I51" s="21"/>
      <c r="J51" s="21" t="s">
        <v>412</v>
      </c>
      <c r="K51" s="21" t="s">
        <v>413</v>
      </c>
      <c r="L51" s="21" t="s">
        <v>414</v>
      </c>
      <c r="M51" s="21" t="s">
        <v>409</v>
      </c>
      <c r="N51" s="21"/>
    </row>
    <row r="52" customFormat="false" ht="25.5" hidden="false" customHeight="true" outlineLevel="0" collapsed="false">
      <c r="A52" s="20" t="s">
        <v>415</v>
      </c>
      <c r="B52" s="21" t="s">
        <v>117</v>
      </c>
      <c r="C52" s="21" t="s">
        <v>310</v>
      </c>
      <c r="D52" s="21" t="s">
        <v>311</v>
      </c>
      <c r="E52" s="21" t="s">
        <v>50</v>
      </c>
      <c r="F52" s="21" t="s">
        <v>264</v>
      </c>
      <c r="G52" s="21" t="s">
        <v>3</v>
      </c>
      <c r="H52" s="21" t="s">
        <v>20</v>
      </c>
      <c r="I52" s="21"/>
      <c r="J52" s="21" t="s">
        <v>412</v>
      </c>
      <c r="K52" s="21" t="s">
        <v>416</v>
      </c>
      <c r="L52" s="21" t="s">
        <v>417</v>
      </c>
      <c r="M52" s="21" t="s">
        <v>415</v>
      </c>
      <c r="N52" s="21"/>
    </row>
    <row r="53" customFormat="false" ht="25.5" hidden="false" customHeight="true" outlineLevel="0" collapsed="false">
      <c r="A53" s="20" t="s">
        <v>418</v>
      </c>
      <c r="B53" s="21" t="s">
        <v>117</v>
      </c>
      <c r="C53" s="21" t="s">
        <v>419</v>
      </c>
      <c r="D53" s="21" t="s">
        <v>411</v>
      </c>
      <c r="E53" s="21" t="s">
        <v>50</v>
      </c>
      <c r="F53" s="21" t="s">
        <v>169</v>
      </c>
      <c r="G53" s="21" t="s">
        <v>3</v>
      </c>
      <c r="H53" s="21" t="s">
        <v>20</v>
      </c>
      <c r="I53" s="21"/>
      <c r="J53" s="21" t="s">
        <v>420</v>
      </c>
      <c r="K53" s="21" t="s">
        <v>421</v>
      </c>
      <c r="L53" s="21" t="s">
        <v>422</v>
      </c>
      <c r="M53" s="21" t="s">
        <v>418</v>
      </c>
      <c r="N53" s="21"/>
    </row>
    <row r="54" customFormat="false" ht="38.25" hidden="false" customHeight="true" outlineLevel="0" collapsed="false">
      <c r="A54" s="20" t="s">
        <v>423</v>
      </c>
      <c r="B54" s="21" t="s">
        <v>117</v>
      </c>
      <c r="C54" s="21" t="s">
        <v>353</v>
      </c>
      <c r="D54" s="21" t="s">
        <v>424</v>
      </c>
      <c r="E54" s="21" t="s">
        <v>50</v>
      </c>
      <c r="F54" s="21" t="s">
        <v>264</v>
      </c>
      <c r="G54" s="21" t="s">
        <v>3</v>
      </c>
      <c r="H54" s="21" t="s">
        <v>20</v>
      </c>
      <c r="I54" s="21"/>
      <c r="J54" s="21" t="s">
        <v>412</v>
      </c>
      <c r="K54" s="21" t="s">
        <v>355</v>
      </c>
      <c r="L54" s="21" t="s">
        <v>425</v>
      </c>
      <c r="M54" s="21" t="s">
        <v>423</v>
      </c>
      <c r="N54" s="21"/>
    </row>
    <row r="55" customFormat="false" ht="25.5" hidden="false" customHeight="true" outlineLevel="0" collapsed="false">
      <c r="A55" s="20" t="s">
        <v>426</v>
      </c>
      <c r="B55" s="21" t="s">
        <v>117</v>
      </c>
      <c r="C55" s="21" t="s">
        <v>358</v>
      </c>
      <c r="D55" s="21" t="s">
        <v>427</v>
      </c>
      <c r="E55" s="21" t="s">
        <v>50</v>
      </c>
      <c r="F55" s="21" t="s">
        <v>201</v>
      </c>
      <c r="G55" s="21" t="s">
        <v>3</v>
      </c>
      <c r="H55" s="21" t="s">
        <v>20</v>
      </c>
      <c r="I55" s="21"/>
      <c r="J55" s="21" t="s">
        <v>412</v>
      </c>
      <c r="K55" s="21" t="s">
        <v>347</v>
      </c>
      <c r="L55" s="21" t="s">
        <v>361</v>
      </c>
      <c r="M55" s="21" t="s">
        <v>426</v>
      </c>
      <c r="N55" s="21"/>
    </row>
    <row r="56" customFormat="false" ht="25.5" hidden="false" customHeight="true" outlineLevel="0" collapsed="false">
      <c r="A56" s="20" t="s">
        <v>428</v>
      </c>
      <c r="B56" s="21" t="s">
        <v>123</v>
      </c>
      <c r="C56" s="21" t="s">
        <v>167</v>
      </c>
      <c r="D56" s="21" t="s">
        <v>168</v>
      </c>
      <c r="E56" s="21" t="s">
        <v>125</v>
      </c>
      <c r="F56" s="21" t="s">
        <v>264</v>
      </c>
      <c r="G56" s="21" t="s">
        <v>3</v>
      </c>
      <c r="H56" s="21" t="s">
        <v>20</v>
      </c>
      <c r="I56" s="21"/>
      <c r="J56" s="21" t="s">
        <v>429</v>
      </c>
      <c r="K56" s="21" t="s">
        <v>171</v>
      </c>
      <c r="L56" s="21" t="s">
        <v>430</v>
      </c>
      <c r="M56" s="21" t="s">
        <v>428</v>
      </c>
      <c r="N56" s="21"/>
    </row>
    <row r="57" customFormat="false" ht="15" hidden="false" customHeight="true" outlineLevel="0" collapsed="false">
      <c r="A57" s="20" t="s">
        <v>431</v>
      </c>
      <c r="B57" s="21" t="s">
        <v>123</v>
      </c>
      <c r="C57" s="21" t="s">
        <v>432</v>
      </c>
      <c r="D57" s="21" t="s">
        <v>433</v>
      </c>
      <c r="E57" s="21" t="s">
        <v>125</v>
      </c>
      <c r="F57" s="21" t="s">
        <v>264</v>
      </c>
      <c r="G57" s="21" t="s">
        <v>3</v>
      </c>
      <c r="H57" s="21" t="s">
        <v>20</v>
      </c>
      <c r="I57" s="21"/>
      <c r="J57" s="21" t="s">
        <v>429</v>
      </c>
      <c r="K57" s="21" t="s">
        <v>434</v>
      </c>
      <c r="L57" s="21" t="s">
        <v>435</v>
      </c>
      <c r="M57" s="21" t="s">
        <v>431</v>
      </c>
      <c r="N57" s="21"/>
    </row>
    <row r="58" customFormat="false" ht="25.5" hidden="false" customHeight="true" outlineLevel="0" collapsed="false">
      <c r="A58" s="20" t="s">
        <v>436</v>
      </c>
      <c r="B58" s="21" t="s">
        <v>123</v>
      </c>
      <c r="C58" s="21" t="s">
        <v>437</v>
      </c>
      <c r="D58" s="21" t="s">
        <v>438</v>
      </c>
      <c r="E58" s="21" t="s">
        <v>125</v>
      </c>
      <c r="F58" s="21" t="s">
        <v>264</v>
      </c>
      <c r="G58" s="21" t="s">
        <v>3</v>
      </c>
      <c r="H58" s="21" t="s">
        <v>20</v>
      </c>
      <c r="I58" s="21"/>
      <c r="J58" s="21" t="s">
        <v>429</v>
      </c>
      <c r="K58" s="21" t="s">
        <v>439</v>
      </c>
      <c r="L58" s="21" t="s">
        <v>440</v>
      </c>
      <c r="M58" s="21" t="s">
        <v>436</v>
      </c>
      <c r="N58" s="21"/>
    </row>
    <row r="59" customFormat="false" ht="25.5" hidden="false" customHeight="true" outlineLevel="0" collapsed="false">
      <c r="A59" s="20" t="s">
        <v>441</v>
      </c>
      <c r="B59" s="21" t="s">
        <v>123</v>
      </c>
      <c r="C59" s="21" t="s">
        <v>199</v>
      </c>
      <c r="D59" s="21" t="s">
        <v>442</v>
      </c>
      <c r="E59" s="21" t="s">
        <v>125</v>
      </c>
      <c r="F59" s="21" t="s">
        <v>201</v>
      </c>
      <c r="G59" s="21" t="s">
        <v>3</v>
      </c>
      <c r="H59" s="21" t="s">
        <v>20</v>
      </c>
      <c r="I59" s="21"/>
      <c r="J59" s="21" t="s">
        <v>429</v>
      </c>
      <c r="K59" s="21" t="s">
        <v>203</v>
      </c>
      <c r="L59" s="21" t="s">
        <v>361</v>
      </c>
      <c r="M59" s="21" t="s">
        <v>441</v>
      </c>
      <c r="N59" s="21"/>
    </row>
    <row r="60" customFormat="false" ht="25.5" hidden="false" customHeight="true" outlineLevel="0" collapsed="false">
      <c r="A60" s="20" t="s">
        <v>443</v>
      </c>
      <c r="B60" s="21" t="s">
        <v>130</v>
      </c>
      <c r="C60" s="21" t="s">
        <v>444</v>
      </c>
      <c r="D60" s="21" t="s">
        <v>445</v>
      </c>
      <c r="E60" s="21" t="s">
        <v>75</v>
      </c>
      <c r="F60" s="21" t="s">
        <v>169</v>
      </c>
      <c r="G60" s="21" t="s">
        <v>3</v>
      </c>
      <c r="H60" s="21" t="s">
        <v>22</v>
      </c>
      <c r="I60" s="21"/>
      <c r="J60" s="21" t="s">
        <v>446</v>
      </c>
      <c r="K60" s="21" t="s">
        <v>100</v>
      </c>
      <c r="L60" s="21" t="s">
        <v>447</v>
      </c>
      <c r="M60" s="21" t="s">
        <v>443</v>
      </c>
      <c r="N60" s="21"/>
    </row>
    <row r="61" customFormat="false" ht="25.5" hidden="false" customHeight="true" outlineLevel="0" collapsed="false">
      <c r="A61" s="20" t="s">
        <v>448</v>
      </c>
      <c r="B61" s="21" t="s">
        <v>130</v>
      </c>
      <c r="C61" s="21" t="s">
        <v>167</v>
      </c>
      <c r="D61" s="21" t="s">
        <v>168</v>
      </c>
      <c r="E61" s="21" t="s">
        <v>75</v>
      </c>
      <c r="F61" s="21" t="s">
        <v>169</v>
      </c>
      <c r="G61" s="21" t="s">
        <v>3</v>
      </c>
      <c r="H61" s="21" t="s">
        <v>22</v>
      </c>
      <c r="I61" s="21"/>
      <c r="J61" s="21" t="s">
        <v>446</v>
      </c>
      <c r="K61" s="21" t="s">
        <v>100</v>
      </c>
      <c r="L61" s="21" t="s">
        <v>449</v>
      </c>
      <c r="M61" s="21" t="s">
        <v>448</v>
      </c>
      <c r="N61" s="21"/>
    </row>
    <row r="62" customFormat="false" ht="25.5" hidden="false" customHeight="true" outlineLevel="0" collapsed="false">
      <c r="A62" s="20" t="s">
        <v>450</v>
      </c>
      <c r="B62" s="21" t="s">
        <v>130</v>
      </c>
      <c r="C62" s="21" t="s">
        <v>451</v>
      </c>
      <c r="D62" s="21" t="s">
        <v>452</v>
      </c>
      <c r="E62" s="21" t="s">
        <v>75</v>
      </c>
      <c r="F62" s="21" t="s">
        <v>169</v>
      </c>
      <c r="G62" s="21" t="s">
        <v>3</v>
      </c>
      <c r="H62" s="21" t="s">
        <v>22</v>
      </c>
      <c r="I62" s="21"/>
      <c r="J62" s="21" t="s">
        <v>446</v>
      </c>
      <c r="K62" s="21" t="s">
        <v>100</v>
      </c>
      <c r="L62" s="21" t="s">
        <v>453</v>
      </c>
      <c r="M62" s="21" t="s">
        <v>450</v>
      </c>
      <c r="N62" s="21"/>
    </row>
    <row r="63" customFormat="false" ht="51" hidden="false" customHeight="true" outlineLevel="0" collapsed="false">
      <c r="A63" s="20" t="s">
        <v>454</v>
      </c>
      <c r="B63" s="21" t="s">
        <v>82</v>
      </c>
      <c r="C63" s="21" t="s">
        <v>455</v>
      </c>
      <c r="D63" s="21" t="s">
        <v>456</v>
      </c>
      <c r="E63" s="21" t="s">
        <v>50</v>
      </c>
      <c r="F63" s="21" t="s">
        <v>264</v>
      </c>
      <c r="G63" s="21" t="s">
        <v>3</v>
      </c>
      <c r="H63" s="21" t="s">
        <v>15</v>
      </c>
      <c r="I63" s="22"/>
      <c r="J63" s="21" t="s">
        <v>457</v>
      </c>
      <c r="K63" s="21" t="s">
        <v>458</v>
      </c>
      <c r="L63" s="21" t="s">
        <v>459</v>
      </c>
      <c r="M63" s="21" t="s">
        <v>460</v>
      </c>
      <c r="N63" s="21" t="s">
        <v>461</v>
      </c>
    </row>
    <row r="64" customFormat="false" ht="25.5" hidden="false" customHeight="true" outlineLevel="0" collapsed="false">
      <c r="A64" s="20" t="s">
        <v>462</v>
      </c>
      <c r="B64" s="21" t="s">
        <v>135</v>
      </c>
      <c r="C64" s="21" t="s">
        <v>167</v>
      </c>
      <c r="D64" s="21" t="s">
        <v>168</v>
      </c>
      <c r="E64" s="21"/>
      <c r="F64" s="21"/>
      <c r="G64" s="21" t="s">
        <v>3</v>
      </c>
      <c r="H64" s="21" t="s">
        <v>12</v>
      </c>
      <c r="I64" s="22" t="n">
        <v>46286</v>
      </c>
      <c r="J64" s="21" t="s">
        <v>463</v>
      </c>
      <c r="K64" s="21" t="s">
        <v>171</v>
      </c>
      <c r="L64" s="21" t="s">
        <v>464</v>
      </c>
      <c r="M64" s="21" t="s">
        <v>465</v>
      </c>
      <c r="N64" s="21"/>
    </row>
    <row r="65" customFormat="false" ht="25.5" hidden="false" customHeight="true" outlineLevel="0" collapsed="false">
      <c r="A65" s="20" t="s">
        <v>466</v>
      </c>
      <c r="B65" s="21" t="s">
        <v>135</v>
      </c>
      <c r="C65" s="21" t="s">
        <v>391</v>
      </c>
      <c r="D65" s="21" t="s">
        <v>392</v>
      </c>
      <c r="E65" s="21"/>
      <c r="F65" s="21"/>
      <c r="G65" s="21" t="s">
        <v>3</v>
      </c>
      <c r="H65" s="21" t="s">
        <v>12</v>
      </c>
      <c r="I65" s="22" t="n">
        <v>46286</v>
      </c>
      <c r="J65" s="21" t="s">
        <v>467</v>
      </c>
      <c r="K65" s="21" t="s">
        <v>468</v>
      </c>
      <c r="L65" s="21" t="s">
        <v>469</v>
      </c>
      <c r="M65" s="21" t="s">
        <v>470</v>
      </c>
      <c r="N65" s="21"/>
    </row>
    <row r="66" customFormat="false" ht="15" hidden="false" customHeight="true" outlineLevel="0" collapsed="false">
      <c r="A66" s="20" t="s">
        <v>471</v>
      </c>
      <c r="B66" s="21" t="s">
        <v>135</v>
      </c>
      <c r="C66" s="21" t="s">
        <v>472</v>
      </c>
      <c r="D66" s="21" t="s">
        <v>473</v>
      </c>
      <c r="E66" s="21"/>
      <c r="F66" s="21"/>
      <c r="G66" s="21" t="s">
        <v>3</v>
      </c>
      <c r="H66" s="21" t="s">
        <v>12</v>
      </c>
      <c r="I66" s="22" t="n">
        <v>46286</v>
      </c>
      <c r="J66" s="21" t="s">
        <v>474</v>
      </c>
      <c r="K66" s="21" t="s">
        <v>475</v>
      </c>
      <c r="L66" s="21" t="s">
        <v>476</v>
      </c>
      <c r="M66" s="21" t="s">
        <v>477</v>
      </c>
      <c r="N66" s="21"/>
    </row>
    <row r="67" customFormat="false" ht="15" hidden="false" customHeight="true" outlineLevel="0" collapsed="false">
      <c r="A67" s="20" t="s">
        <v>478</v>
      </c>
      <c r="B67" s="21" t="s">
        <v>135</v>
      </c>
      <c r="C67" s="21" t="s">
        <v>479</v>
      </c>
      <c r="D67" s="21" t="s">
        <v>480</v>
      </c>
      <c r="E67" s="21"/>
      <c r="F67" s="21"/>
      <c r="G67" s="21" t="s">
        <v>3</v>
      </c>
      <c r="H67" s="21" t="s">
        <v>12</v>
      </c>
      <c r="I67" s="22" t="n">
        <v>46286</v>
      </c>
      <c r="J67" s="21" t="s">
        <v>481</v>
      </c>
      <c r="K67" s="21" t="s">
        <v>482</v>
      </c>
      <c r="L67" s="21" t="s">
        <v>483</v>
      </c>
      <c r="M67" s="21" t="s">
        <v>484</v>
      </c>
      <c r="N67" s="21"/>
    </row>
    <row r="68" customFormat="false" ht="51" hidden="false" customHeight="true" outlineLevel="0" collapsed="false">
      <c r="A68" s="20" t="s">
        <v>485</v>
      </c>
      <c r="B68" s="21" t="s">
        <v>135</v>
      </c>
      <c r="C68" s="21" t="s">
        <v>150</v>
      </c>
      <c r="D68" s="21" t="s">
        <v>151</v>
      </c>
      <c r="E68" s="21"/>
      <c r="F68" s="21"/>
      <c r="G68" s="21" t="s">
        <v>3</v>
      </c>
      <c r="H68" s="21" t="s">
        <v>12</v>
      </c>
      <c r="I68" s="22" t="n">
        <v>46286</v>
      </c>
      <c r="J68" s="21" t="s">
        <v>486</v>
      </c>
      <c r="K68" s="21" t="s">
        <v>277</v>
      </c>
      <c r="L68" s="21" t="s">
        <v>487</v>
      </c>
      <c r="M68" s="21" t="s">
        <v>488</v>
      </c>
      <c r="N68" s="21"/>
    </row>
    <row r="69" customFormat="false" ht="25.5" hidden="false" customHeight="true" outlineLevel="0" collapsed="false">
      <c r="A69" s="20" t="s">
        <v>489</v>
      </c>
      <c r="B69" s="21" t="s">
        <v>135</v>
      </c>
      <c r="C69" s="21" t="s">
        <v>199</v>
      </c>
      <c r="D69" s="21" t="s">
        <v>490</v>
      </c>
      <c r="E69" s="21"/>
      <c r="F69" s="21"/>
      <c r="G69" s="21" t="s">
        <v>3</v>
      </c>
      <c r="H69" s="21" t="s">
        <v>12</v>
      </c>
      <c r="I69" s="22" t="n">
        <v>46286</v>
      </c>
      <c r="J69" s="21" t="s">
        <v>491</v>
      </c>
      <c r="K69" s="21" t="s">
        <v>203</v>
      </c>
      <c r="L69" s="21" t="s">
        <v>361</v>
      </c>
      <c r="M69" s="21" t="s">
        <v>492</v>
      </c>
      <c r="N69" s="21"/>
    </row>
    <row r="70" customFormat="false" ht="25.5" hidden="false" customHeight="true" outlineLevel="0" collapsed="false">
      <c r="A70" s="20" t="s">
        <v>493</v>
      </c>
      <c r="B70" s="21" t="s">
        <v>494</v>
      </c>
      <c r="C70" s="21" t="s">
        <v>495</v>
      </c>
      <c r="D70" s="21" t="s">
        <v>496</v>
      </c>
      <c r="E70" s="21" t="s">
        <v>497</v>
      </c>
      <c r="F70" s="21"/>
      <c r="G70" s="21" t="s">
        <v>498</v>
      </c>
      <c r="H70" s="21" t="s">
        <v>15</v>
      </c>
      <c r="I70" s="21"/>
      <c r="J70" s="21" t="s">
        <v>499</v>
      </c>
      <c r="K70" s="21" t="s">
        <v>500</v>
      </c>
      <c r="L70" s="21" t="s">
        <v>501</v>
      </c>
      <c r="M70" s="21" t="s">
        <v>502</v>
      </c>
      <c r="N70" s="21" t="s">
        <v>503</v>
      </c>
    </row>
    <row r="71" customFormat="false" ht="25.5" hidden="false" customHeight="true" outlineLevel="0" collapsed="false">
      <c r="A71" s="20" t="s">
        <v>504</v>
      </c>
      <c r="B71" s="21" t="s">
        <v>494</v>
      </c>
      <c r="C71" s="21" t="s">
        <v>505</v>
      </c>
      <c r="D71" s="21" t="s">
        <v>506</v>
      </c>
      <c r="E71" s="21" t="s">
        <v>497</v>
      </c>
      <c r="F71" s="21"/>
      <c r="G71" s="21" t="s">
        <v>498</v>
      </c>
      <c r="H71" s="21" t="s">
        <v>15</v>
      </c>
      <c r="I71" s="21"/>
      <c r="J71" s="21" t="s">
        <v>507</v>
      </c>
      <c r="K71" s="21" t="s">
        <v>508</v>
      </c>
      <c r="L71" s="21" t="s">
        <v>509</v>
      </c>
      <c r="M71" s="21" t="s">
        <v>502</v>
      </c>
      <c r="N71" s="21"/>
    </row>
    <row r="72" customFormat="false" ht="25.5" hidden="false" customHeight="true" outlineLevel="0" collapsed="false">
      <c r="A72" s="20" t="s">
        <v>510</v>
      </c>
      <c r="B72" s="21" t="s">
        <v>494</v>
      </c>
      <c r="C72" s="21" t="s">
        <v>199</v>
      </c>
      <c r="D72" s="21" t="s">
        <v>511</v>
      </c>
      <c r="E72" s="21" t="s">
        <v>497</v>
      </c>
      <c r="F72" s="21"/>
      <c r="G72" s="21" t="s">
        <v>498</v>
      </c>
      <c r="H72" s="21" t="s">
        <v>15</v>
      </c>
      <c r="I72" s="21"/>
      <c r="J72" s="21" t="s">
        <v>512</v>
      </c>
      <c r="K72" s="21" t="s">
        <v>513</v>
      </c>
      <c r="L72" s="21" t="s">
        <v>514</v>
      </c>
      <c r="M72" s="21" t="s">
        <v>502</v>
      </c>
      <c r="N72" s="21"/>
    </row>
    <row r="73" customFormat="false" ht="25.5" hidden="false" customHeight="true" outlineLevel="0" collapsed="false">
      <c r="A73" s="20" t="s">
        <v>515</v>
      </c>
      <c r="B73" s="21" t="s">
        <v>47</v>
      </c>
      <c r="C73" s="21" t="s">
        <v>516</v>
      </c>
      <c r="D73" s="21" t="s">
        <v>517</v>
      </c>
      <c r="E73" s="21" t="s">
        <v>497</v>
      </c>
      <c r="F73" s="21"/>
      <c r="G73" s="21" t="s">
        <v>7</v>
      </c>
      <c r="H73" s="21" t="s">
        <v>18</v>
      </c>
      <c r="I73" s="21"/>
      <c r="J73" s="21" t="s">
        <v>518</v>
      </c>
      <c r="K73" s="21" t="s">
        <v>519</v>
      </c>
      <c r="L73" s="21" t="s">
        <v>520</v>
      </c>
      <c r="M73" s="21" t="s">
        <v>47</v>
      </c>
      <c r="N73" s="21"/>
    </row>
    <row r="74" customFormat="false" ht="25.5" hidden="false" customHeight="true" outlineLevel="0" collapsed="false">
      <c r="A74" s="20" t="s">
        <v>521</v>
      </c>
      <c r="B74" s="21" t="s">
        <v>47</v>
      </c>
      <c r="C74" s="21" t="s">
        <v>522</v>
      </c>
      <c r="D74" s="21" t="s">
        <v>523</v>
      </c>
      <c r="E74" s="21" t="s">
        <v>497</v>
      </c>
      <c r="F74" s="21"/>
      <c r="G74" s="21" t="s">
        <v>7</v>
      </c>
      <c r="H74" s="21" t="s">
        <v>18</v>
      </c>
      <c r="I74" s="21"/>
      <c r="J74" s="21" t="s">
        <v>524</v>
      </c>
      <c r="K74" s="21" t="s">
        <v>525</v>
      </c>
      <c r="L74" s="21" t="s">
        <v>526</v>
      </c>
      <c r="M74" s="21" t="s">
        <v>47</v>
      </c>
      <c r="N74" s="21"/>
    </row>
    <row r="75" customFormat="false" ht="25.5" hidden="false" customHeight="true" outlineLevel="0" collapsed="false">
      <c r="A75" s="20" t="s">
        <v>527</v>
      </c>
      <c r="B75" s="21" t="s">
        <v>47</v>
      </c>
      <c r="C75" s="21" t="s">
        <v>528</v>
      </c>
      <c r="D75" s="21" t="s">
        <v>529</v>
      </c>
      <c r="E75" s="21" t="s">
        <v>497</v>
      </c>
      <c r="F75" s="21"/>
      <c r="G75" s="21" t="s">
        <v>7</v>
      </c>
      <c r="H75" s="21" t="s">
        <v>18</v>
      </c>
      <c r="I75" s="21"/>
      <c r="J75" s="21" t="s">
        <v>530</v>
      </c>
      <c r="K75" s="21" t="s">
        <v>531</v>
      </c>
      <c r="L75" s="21" t="s">
        <v>532</v>
      </c>
      <c r="M75" s="21" t="s">
        <v>47</v>
      </c>
      <c r="N75" s="21"/>
    </row>
    <row r="76" customFormat="false" ht="25.5" hidden="false" customHeight="true" outlineLevel="0" collapsed="false">
      <c r="A76" s="20" t="s">
        <v>533</v>
      </c>
      <c r="B76" s="21" t="s">
        <v>47</v>
      </c>
      <c r="C76" s="21" t="s">
        <v>534</v>
      </c>
      <c r="D76" s="21" t="s">
        <v>535</v>
      </c>
      <c r="E76" s="21" t="s">
        <v>536</v>
      </c>
      <c r="F76" s="21"/>
      <c r="G76" s="21" t="s">
        <v>7</v>
      </c>
      <c r="H76" s="21" t="s">
        <v>18</v>
      </c>
      <c r="I76" s="21"/>
      <c r="J76" s="21" t="s">
        <v>537</v>
      </c>
      <c r="K76" s="21" t="s">
        <v>538</v>
      </c>
      <c r="L76" s="21" t="s">
        <v>539</v>
      </c>
      <c r="M76" s="21" t="s">
        <v>47</v>
      </c>
      <c r="N76" s="21"/>
    </row>
    <row r="77" customFormat="false" ht="25.5" hidden="false" customHeight="true" outlineLevel="0" collapsed="false">
      <c r="A77" s="20" t="s">
        <v>540</v>
      </c>
      <c r="B77" s="21" t="s">
        <v>541</v>
      </c>
      <c r="C77" s="21" t="s">
        <v>542</v>
      </c>
      <c r="D77" s="21" t="s">
        <v>523</v>
      </c>
      <c r="E77" s="21" t="s">
        <v>497</v>
      </c>
      <c r="F77" s="21"/>
      <c r="G77" s="21" t="s">
        <v>3</v>
      </c>
      <c r="H77" s="21" t="s">
        <v>22</v>
      </c>
      <c r="I77" s="21"/>
      <c r="J77" s="21" t="s">
        <v>543</v>
      </c>
      <c r="K77" s="21" t="s">
        <v>544</v>
      </c>
      <c r="L77" s="21" t="s">
        <v>545</v>
      </c>
      <c r="M77" s="21" t="s">
        <v>546</v>
      </c>
      <c r="N77" s="21" t="s">
        <v>547</v>
      </c>
    </row>
    <row r="78" customFormat="false" ht="25.5" hidden="false" customHeight="true" outlineLevel="0" collapsed="false">
      <c r="A78" s="20" t="s">
        <v>548</v>
      </c>
      <c r="B78" s="21" t="s">
        <v>549</v>
      </c>
      <c r="C78" s="21" t="s">
        <v>550</v>
      </c>
      <c r="D78" s="21" t="s">
        <v>551</v>
      </c>
      <c r="E78" s="21" t="s">
        <v>497</v>
      </c>
      <c r="F78" s="21"/>
      <c r="G78" s="21" t="s">
        <v>3</v>
      </c>
      <c r="H78" s="21" t="s">
        <v>15</v>
      </c>
      <c r="I78" s="21"/>
      <c r="J78" s="21" t="s">
        <v>552</v>
      </c>
      <c r="K78" s="21" t="s">
        <v>553</v>
      </c>
      <c r="L78" s="21" t="s">
        <v>554</v>
      </c>
      <c r="M78" s="21" t="s">
        <v>555</v>
      </c>
      <c r="N78" s="21" t="s">
        <v>556</v>
      </c>
    </row>
    <row r="79" customFormat="false" ht="25.5" hidden="false" customHeight="true" outlineLevel="0" collapsed="false">
      <c r="A79" s="20" t="s">
        <v>557</v>
      </c>
      <c r="B79" s="21" t="s">
        <v>558</v>
      </c>
      <c r="C79" s="21" t="s">
        <v>559</v>
      </c>
      <c r="D79" s="21" t="s">
        <v>560</v>
      </c>
      <c r="E79" s="21" t="s">
        <v>497</v>
      </c>
      <c r="F79" s="21"/>
      <c r="G79" s="21" t="s">
        <v>193</v>
      </c>
      <c r="H79" s="21" t="s">
        <v>18</v>
      </c>
      <c r="I79" s="21"/>
      <c r="J79" s="21" t="s">
        <v>561</v>
      </c>
      <c r="K79" s="21" t="s">
        <v>562</v>
      </c>
      <c r="L79" s="21" t="s">
        <v>563</v>
      </c>
      <c r="M79" s="21" t="s">
        <v>564</v>
      </c>
      <c r="N79" s="21" t="s">
        <v>565</v>
      </c>
    </row>
    <row r="80" customFormat="false" ht="25.5" hidden="false" customHeight="true" outlineLevel="0" collapsed="false">
      <c r="A80" s="20" t="s">
        <v>566</v>
      </c>
      <c r="B80" s="21" t="s">
        <v>567</v>
      </c>
      <c r="C80" s="21" t="s">
        <v>568</v>
      </c>
      <c r="D80" s="21" t="s">
        <v>569</v>
      </c>
      <c r="E80" s="21" t="s">
        <v>497</v>
      </c>
      <c r="F80" s="21"/>
      <c r="G80" s="21" t="s">
        <v>3</v>
      </c>
      <c r="H80" s="21" t="s">
        <v>22</v>
      </c>
      <c r="I80" s="21"/>
      <c r="J80" s="21" t="s">
        <v>570</v>
      </c>
      <c r="K80" s="21" t="s">
        <v>571</v>
      </c>
      <c r="L80" s="21" t="s">
        <v>572</v>
      </c>
      <c r="M80" s="21" t="s">
        <v>573</v>
      </c>
      <c r="N80" s="21" t="s">
        <v>574</v>
      </c>
    </row>
    <row r="81" customFormat="false" ht="25.5" hidden="false" customHeight="true" outlineLevel="0" collapsed="false">
      <c r="A81" s="20" t="s">
        <v>575</v>
      </c>
      <c r="B81" s="21" t="s">
        <v>549</v>
      </c>
      <c r="C81" s="21" t="s">
        <v>576</v>
      </c>
      <c r="D81" s="21" t="s">
        <v>577</v>
      </c>
      <c r="E81" s="21" t="s">
        <v>497</v>
      </c>
      <c r="F81" s="21"/>
      <c r="G81" s="21" t="s">
        <v>3</v>
      </c>
      <c r="H81" s="21" t="s">
        <v>15</v>
      </c>
      <c r="I81" s="21"/>
      <c r="J81" s="21" t="s">
        <v>578</v>
      </c>
      <c r="K81" s="21" t="s">
        <v>579</v>
      </c>
      <c r="L81" s="21" t="s">
        <v>580</v>
      </c>
      <c r="M81" s="21" t="s">
        <v>581</v>
      </c>
      <c r="N81" s="21" t="s">
        <v>582</v>
      </c>
    </row>
    <row r="82" customFormat="false" ht="25.5" hidden="false" customHeight="true" outlineLevel="0" collapsed="false">
      <c r="A82" s="20" t="s">
        <v>583</v>
      </c>
      <c r="B82" s="21" t="s">
        <v>584</v>
      </c>
      <c r="C82" s="21" t="s">
        <v>585</v>
      </c>
      <c r="D82" s="21" t="s">
        <v>586</v>
      </c>
      <c r="E82" s="21" t="s">
        <v>50</v>
      </c>
      <c r="F82" s="21"/>
      <c r="G82" s="21" t="s">
        <v>3</v>
      </c>
      <c r="H82" s="21" t="s">
        <v>15</v>
      </c>
      <c r="I82" s="21"/>
      <c r="J82" s="21" t="s">
        <v>587</v>
      </c>
      <c r="K82" s="21" t="s">
        <v>588</v>
      </c>
      <c r="L82" s="21" t="s">
        <v>589</v>
      </c>
      <c r="M82" s="21" t="s">
        <v>590</v>
      </c>
      <c r="N82" s="21" t="s">
        <v>591</v>
      </c>
    </row>
    <row r="83" customFormat="false" ht="25.5" hidden="false" customHeight="true" outlineLevel="0" collapsed="false">
      <c r="A83" s="20" t="s">
        <v>592</v>
      </c>
      <c r="B83" s="21" t="s">
        <v>593</v>
      </c>
      <c r="C83" s="21" t="s">
        <v>594</v>
      </c>
      <c r="D83" s="21" t="s">
        <v>595</v>
      </c>
      <c r="E83" s="21" t="s">
        <v>497</v>
      </c>
      <c r="F83" s="21"/>
      <c r="G83" s="21" t="s">
        <v>3</v>
      </c>
      <c r="H83" s="21" t="s">
        <v>15</v>
      </c>
      <c r="I83" s="21"/>
      <c r="J83" s="21" t="s">
        <v>596</v>
      </c>
      <c r="K83" s="21" t="s">
        <v>597</v>
      </c>
      <c r="L83" s="21" t="s">
        <v>598</v>
      </c>
      <c r="M83" s="21" t="s">
        <v>564</v>
      </c>
      <c r="N83" s="21" t="s">
        <v>565</v>
      </c>
    </row>
    <row r="84" customFormat="false" ht="25.5" hidden="false" customHeight="true" outlineLevel="0" collapsed="false">
      <c r="A84" s="20" t="s">
        <v>599</v>
      </c>
      <c r="B84" s="21" t="s">
        <v>600</v>
      </c>
      <c r="C84" s="21" t="s">
        <v>601</v>
      </c>
      <c r="D84" s="21" t="s">
        <v>602</v>
      </c>
      <c r="E84" s="21" t="s">
        <v>497</v>
      </c>
      <c r="F84" s="21"/>
      <c r="G84" s="21" t="s">
        <v>3</v>
      </c>
      <c r="H84" s="21" t="s">
        <v>18</v>
      </c>
      <c r="I84" s="21"/>
      <c r="J84" s="21" t="s">
        <v>603</v>
      </c>
      <c r="K84" s="21" t="s">
        <v>604</v>
      </c>
      <c r="L84" s="21" t="s">
        <v>605</v>
      </c>
      <c r="M84" s="21" t="s">
        <v>606</v>
      </c>
      <c r="N84" s="21" t="s">
        <v>607</v>
      </c>
    </row>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N69"/>
  <mergeCells count="2">
    <mergeCell ref="A1:N1"/>
    <mergeCell ref="A2:N2"/>
  </mergeCells>
  <conditionalFormatting sqref="A5:N69">
    <cfRule type="expression" priority="2" aboveAverage="0" equalAverage="0" bottom="0" percent="0" rank="0" text="" dxfId="7">
      <formula>$H5="Built"</formula>
    </cfRule>
    <cfRule type="expression" priority="3" aboveAverage="0" equalAverage="0" bottom="0" percent="0" rank="0" text="" dxfId="8">
      <formula>$H5="Verify"</formula>
    </cfRule>
    <cfRule type="expression" priority="4" aboveAverage="0" equalAverage="0" bottom="0" percent="0" rank="0" text="" dxfId="9">
      <formula>$H5="To build"</formula>
    </cfRule>
    <cfRule type="expression" priority="5" aboveAverage="0" equalAverage="0" bottom="0" percent="0" rank="0" text="" dxfId="10">
      <formula>$H5="Deferred"</formula>
    </cfRule>
    <cfRule type="expression" priority="6" aboveAverage="0" equalAverage="0" bottom="0" percent="0" rank="0" text="" dxfId="10">
      <formula>$H5="Closed"</formula>
    </cfRule>
  </conditionalFormatting>
  <dataValidations count="1">
    <dataValidation allowBlank="true" errorStyle="stop" operator="between" showDropDown="false" showErrorMessage="false" showInputMessage="false" sqref="H5:H69" type="list">
      <formula1>"Built,Verify,To build,Deferred,Closed"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3" min="3" style="1" width="10"/>
    <col collapsed="false" customWidth="true" hidden="false" outlineLevel="0" max="4" min="4" style="1" width="18"/>
    <col collapsed="false" customWidth="true" hidden="false" outlineLevel="0" max="5" min="5" style="1" width="10"/>
    <col collapsed="false" customWidth="true" hidden="false" outlineLevel="0" max="6" min="6" style="1" width="12"/>
    <col collapsed="false" customWidth="true" hidden="false" outlineLevel="0" max="7" min="7" style="1" width="60"/>
    <col collapsed="false" customWidth="true" hidden="false" outlineLevel="0" max="8" min="8" style="1" width="40"/>
    <col collapsed="false" customWidth="true" hidden="false" outlineLevel="0" max="9" min="9" style="1" width="14"/>
    <col collapsed="false" customWidth="true" hidden="false" outlineLevel="0" max="10" min="10" style="1" width="42"/>
    <col collapsed="false" customWidth="true" hidden="false" outlineLevel="0" max="26" min="11" style="1" width="8.71"/>
  </cols>
  <sheetData>
    <row r="1" customFormat="false" ht="25.5" hidden="false" customHeight="true" outlineLevel="0" collapsed="false">
      <c r="A1" s="2" t="s">
        <v>32</v>
      </c>
      <c r="B1" s="2"/>
      <c r="C1" s="2"/>
      <c r="D1" s="2"/>
      <c r="E1" s="2"/>
      <c r="F1" s="2"/>
      <c r="G1" s="2"/>
      <c r="H1" s="2"/>
      <c r="I1" s="2"/>
      <c r="J1" s="2"/>
    </row>
    <row r="2" customFormat="false" ht="30" hidden="false" customHeight="true" outlineLevel="0" collapsed="false">
      <c r="A2" s="5" t="s">
        <v>608</v>
      </c>
      <c r="B2" s="5"/>
      <c r="C2" s="5"/>
      <c r="D2" s="5"/>
      <c r="E2" s="5"/>
      <c r="F2" s="5"/>
      <c r="G2" s="5"/>
      <c r="H2" s="5"/>
      <c r="I2" s="5"/>
      <c r="J2" s="5"/>
    </row>
    <row r="3" customFormat="false" ht="15" hidden="false" customHeight="true" outlineLevel="0" collapsed="false"/>
    <row r="4" customFormat="false" ht="30" hidden="false" customHeight="true" outlineLevel="0" collapsed="false">
      <c r="A4" s="19" t="s">
        <v>36</v>
      </c>
      <c r="B4" s="19" t="s">
        <v>609</v>
      </c>
      <c r="C4" s="19" t="s">
        <v>39</v>
      </c>
      <c r="D4" s="19" t="s">
        <v>40</v>
      </c>
      <c r="E4" s="19" t="s">
        <v>29</v>
      </c>
      <c r="F4" s="19" t="s">
        <v>41</v>
      </c>
      <c r="G4" s="19" t="s">
        <v>610</v>
      </c>
      <c r="H4" s="19" t="s">
        <v>611</v>
      </c>
      <c r="I4" s="19" t="s">
        <v>45</v>
      </c>
      <c r="J4" s="19" t="s">
        <v>46</v>
      </c>
    </row>
    <row r="5" customFormat="false" ht="63.75" hidden="false" customHeight="true" outlineLevel="0" collapsed="false">
      <c r="A5" s="20" t="s">
        <v>590</v>
      </c>
      <c r="B5" s="21" t="s">
        <v>612</v>
      </c>
      <c r="C5" s="21" t="s">
        <v>50</v>
      </c>
      <c r="D5" s="21" t="s">
        <v>3</v>
      </c>
      <c r="E5" s="21" t="s">
        <v>15</v>
      </c>
      <c r="F5" s="22"/>
      <c r="G5" s="21" t="s">
        <v>613</v>
      </c>
      <c r="H5" s="21" t="s">
        <v>614</v>
      </c>
      <c r="I5" s="21" t="s">
        <v>590</v>
      </c>
      <c r="J5" s="21" t="s">
        <v>615</v>
      </c>
    </row>
    <row r="6" customFormat="false" ht="15" hidden="false" customHeight="true" outlineLevel="0" collapsed="false">
      <c r="A6" s="20" t="s">
        <v>616</v>
      </c>
      <c r="B6" s="21" t="s">
        <v>617</v>
      </c>
      <c r="C6" s="21" t="s">
        <v>50</v>
      </c>
      <c r="D6" s="21" t="s">
        <v>3</v>
      </c>
      <c r="E6" s="21" t="s">
        <v>22</v>
      </c>
      <c r="F6" s="21"/>
      <c r="G6" s="21" t="s">
        <v>618</v>
      </c>
      <c r="H6" s="21" t="s">
        <v>619</v>
      </c>
      <c r="I6" s="21" t="s">
        <v>620</v>
      </c>
      <c r="J6" s="21" t="s">
        <v>621</v>
      </c>
    </row>
    <row r="7" customFormat="false" ht="25.5" hidden="false" customHeight="true" outlineLevel="0" collapsed="false">
      <c r="A7" s="20" t="s">
        <v>622</v>
      </c>
      <c r="B7" s="21" t="s">
        <v>623</v>
      </c>
      <c r="C7" s="21" t="s">
        <v>50</v>
      </c>
      <c r="D7" s="21" t="s">
        <v>3</v>
      </c>
      <c r="E7" s="21" t="s">
        <v>15</v>
      </c>
      <c r="F7" s="22"/>
      <c r="G7" s="21" t="s">
        <v>624</v>
      </c>
      <c r="H7" s="21" t="s">
        <v>625</v>
      </c>
      <c r="I7" s="21" t="s">
        <v>626</v>
      </c>
      <c r="J7" s="21" t="s">
        <v>627</v>
      </c>
    </row>
    <row r="8" customFormat="false" ht="15" hidden="false" customHeight="true" outlineLevel="0" collapsed="false">
      <c r="A8" s="20" t="s">
        <v>628</v>
      </c>
      <c r="B8" s="21" t="s">
        <v>629</v>
      </c>
      <c r="C8" s="21" t="s">
        <v>50</v>
      </c>
      <c r="D8" s="21" t="s">
        <v>3</v>
      </c>
      <c r="E8" s="21" t="s">
        <v>20</v>
      </c>
      <c r="F8" s="21"/>
      <c r="G8" s="21" t="s">
        <v>630</v>
      </c>
      <c r="H8" s="21" t="s">
        <v>631</v>
      </c>
      <c r="I8" s="21" t="s">
        <v>628</v>
      </c>
      <c r="J8" s="21"/>
    </row>
    <row r="9" customFormat="false" ht="25.5" hidden="false" customHeight="true" outlineLevel="0" collapsed="false">
      <c r="A9" s="20" t="s">
        <v>632</v>
      </c>
      <c r="B9" s="21" t="s">
        <v>633</v>
      </c>
      <c r="C9" s="21" t="s">
        <v>75</v>
      </c>
      <c r="D9" s="21" t="s">
        <v>3</v>
      </c>
      <c r="E9" s="21" t="s">
        <v>22</v>
      </c>
      <c r="F9" s="21"/>
      <c r="G9" s="21" t="s">
        <v>634</v>
      </c>
      <c r="H9" s="21" t="s">
        <v>100</v>
      </c>
      <c r="I9" s="21" t="s">
        <v>632</v>
      </c>
      <c r="J9" s="21" t="s">
        <v>635</v>
      </c>
    </row>
    <row r="10" customFormat="false" ht="25.5" hidden="false" customHeight="true" outlineLevel="0" collapsed="false">
      <c r="A10" s="20" t="s">
        <v>636</v>
      </c>
      <c r="B10" s="21" t="s">
        <v>637</v>
      </c>
      <c r="C10" s="21" t="s">
        <v>75</v>
      </c>
      <c r="D10" s="21" t="s">
        <v>3</v>
      </c>
      <c r="E10" s="21" t="s">
        <v>22</v>
      </c>
      <c r="F10" s="21"/>
      <c r="G10" s="21" t="s">
        <v>638</v>
      </c>
      <c r="H10" s="21" t="s">
        <v>100</v>
      </c>
      <c r="I10" s="21" t="s">
        <v>639</v>
      </c>
      <c r="J10" s="21"/>
    </row>
    <row r="11" customFormat="false" ht="25.5" hidden="false" customHeight="true" outlineLevel="0" collapsed="false">
      <c r="A11" s="20" t="s">
        <v>640</v>
      </c>
      <c r="B11" s="21" t="s">
        <v>641</v>
      </c>
      <c r="C11" s="21" t="s">
        <v>75</v>
      </c>
      <c r="D11" s="21" t="s">
        <v>3</v>
      </c>
      <c r="E11" s="21" t="s">
        <v>22</v>
      </c>
      <c r="F11" s="21"/>
      <c r="G11" s="21" t="s">
        <v>642</v>
      </c>
      <c r="H11" s="21" t="s">
        <v>643</v>
      </c>
      <c r="I11" s="21" t="s">
        <v>640</v>
      </c>
      <c r="J11" s="21" t="s">
        <v>644</v>
      </c>
    </row>
    <row r="12" customFormat="false" ht="51" hidden="false" customHeight="true" outlineLevel="0" collapsed="false">
      <c r="A12" s="20" t="s">
        <v>645</v>
      </c>
      <c r="B12" s="21" t="s">
        <v>646</v>
      </c>
      <c r="C12" s="21" t="s">
        <v>75</v>
      </c>
      <c r="D12" s="21" t="s">
        <v>647</v>
      </c>
      <c r="E12" s="21" t="s">
        <v>18</v>
      </c>
      <c r="F12" s="21"/>
      <c r="G12" s="21" t="s">
        <v>648</v>
      </c>
      <c r="H12" s="21" t="s">
        <v>649</v>
      </c>
      <c r="I12" s="21" t="s">
        <v>650</v>
      </c>
      <c r="J12" s="21" t="s">
        <v>651</v>
      </c>
    </row>
    <row r="13" customFormat="false" ht="38.25" hidden="false" customHeight="true" outlineLevel="0" collapsed="false">
      <c r="A13" s="20" t="s">
        <v>652</v>
      </c>
      <c r="B13" s="21" t="s">
        <v>653</v>
      </c>
      <c r="C13" s="21" t="s">
        <v>75</v>
      </c>
      <c r="D13" s="21" t="s">
        <v>654</v>
      </c>
      <c r="E13" s="21" t="s">
        <v>18</v>
      </c>
      <c r="F13" s="22"/>
      <c r="G13" s="21" t="s">
        <v>655</v>
      </c>
      <c r="H13" s="21" t="s">
        <v>656</v>
      </c>
      <c r="I13" s="21" t="s">
        <v>657</v>
      </c>
      <c r="J13" s="21" t="s">
        <v>658</v>
      </c>
    </row>
    <row r="14" customFormat="false" ht="38.25" hidden="false" customHeight="true" outlineLevel="0" collapsed="false">
      <c r="A14" s="20" t="s">
        <v>659</v>
      </c>
      <c r="B14" s="21" t="s">
        <v>660</v>
      </c>
      <c r="C14" s="21" t="s">
        <v>50</v>
      </c>
      <c r="D14" s="21" t="s">
        <v>3</v>
      </c>
      <c r="E14" s="21" t="s">
        <v>22</v>
      </c>
      <c r="F14" s="22"/>
      <c r="G14" s="21" t="s">
        <v>661</v>
      </c>
      <c r="H14" s="21" t="s">
        <v>662</v>
      </c>
      <c r="I14" s="21" t="s">
        <v>659</v>
      </c>
      <c r="J14" s="21" t="s">
        <v>663</v>
      </c>
    </row>
    <row r="15" customFormat="false" ht="38.25" hidden="false" customHeight="true" outlineLevel="0" collapsed="false">
      <c r="A15" s="20" t="s">
        <v>664</v>
      </c>
      <c r="B15" s="21" t="s">
        <v>665</v>
      </c>
      <c r="C15" s="21" t="s">
        <v>75</v>
      </c>
      <c r="D15" s="21" t="s">
        <v>3</v>
      </c>
      <c r="E15" s="21" t="s">
        <v>22</v>
      </c>
      <c r="F15" s="22"/>
      <c r="G15" s="21" t="s">
        <v>666</v>
      </c>
      <c r="H15" s="21" t="s">
        <v>667</v>
      </c>
      <c r="I15" s="21" t="s">
        <v>664</v>
      </c>
      <c r="J15" s="21" t="s">
        <v>668</v>
      </c>
    </row>
    <row r="16" customFormat="false" ht="38.25" hidden="false" customHeight="true" outlineLevel="0" collapsed="false">
      <c r="A16" s="20" t="s">
        <v>669</v>
      </c>
      <c r="B16" s="21" t="s">
        <v>670</v>
      </c>
      <c r="C16" s="21" t="s">
        <v>50</v>
      </c>
      <c r="D16" s="21" t="s">
        <v>3</v>
      </c>
      <c r="E16" s="21" t="s">
        <v>15</v>
      </c>
      <c r="F16" s="22"/>
      <c r="G16" s="21" t="s">
        <v>671</v>
      </c>
      <c r="H16" s="21" t="s">
        <v>672</v>
      </c>
      <c r="I16" s="21" t="s">
        <v>673</v>
      </c>
      <c r="J16" s="21" t="s">
        <v>674</v>
      </c>
    </row>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J13"/>
  <mergeCells count="2">
    <mergeCell ref="A1:J1"/>
    <mergeCell ref="A2:J2"/>
  </mergeCells>
  <conditionalFormatting sqref="A5:J13">
    <cfRule type="expression" priority="2" aboveAverage="0" equalAverage="0" bottom="0" percent="0" rank="0" text="" dxfId="7">
      <formula>$E5="Built"</formula>
    </cfRule>
    <cfRule type="expression" priority="3" aboveAverage="0" equalAverage="0" bottom="0" percent="0" rank="0" text="" dxfId="8">
      <formula>$E5="Verify"</formula>
    </cfRule>
    <cfRule type="expression" priority="4" aboveAverage="0" equalAverage="0" bottom="0" percent="0" rank="0" text="" dxfId="9">
      <formula>$E5="To build"</formula>
    </cfRule>
    <cfRule type="expression" priority="5" aboveAverage="0" equalAverage="0" bottom="0" percent="0" rank="0" text="" dxfId="10">
      <formula>$E5="Deferred"</formula>
    </cfRule>
    <cfRule type="expression" priority="6" aboveAverage="0" equalAverage="0" bottom="0" percent="0" rank="0" text="" dxfId="10">
      <formula>$E5="Closed"</formula>
    </cfRule>
  </conditionalFormatting>
  <dataValidations count="1">
    <dataValidation allowBlank="true" errorStyle="stop" operator="between" showDropDown="false" showErrorMessage="false" showInputMessage="false" sqref="E5:E13" type="list">
      <formula1>"Built,Verify,To build,Deferred,Closed"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80"/>
    <col collapsed="false" customWidth="true" hidden="false" outlineLevel="0" max="4" min="4" style="1" width="22"/>
    <col collapsed="false" customWidth="true" hidden="false" outlineLevel="0" max="5" min="5" style="1" width="44"/>
    <col collapsed="false" customWidth="true" hidden="false" outlineLevel="0" max="26" min="6" style="1" width="8.71"/>
  </cols>
  <sheetData>
    <row r="1" customFormat="false" ht="25.5" hidden="false" customHeight="true" outlineLevel="0" collapsed="false">
      <c r="A1" s="2" t="s">
        <v>675</v>
      </c>
      <c r="B1" s="2"/>
      <c r="C1" s="2"/>
      <c r="D1" s="2"/>
      <c r="E1" s="2"/>
    </row>
    <row r="2" customFormat="false" ht="30" hidden="false" customHeight="true" outlineLevel="0" collapsed="false">
      <c r="A2" s="5" t="s">
        <v>676</v>
      </c>
      <c r="B2" s="5"/>
      <c r="C2" s="5"/>
      <c r="D2" s="5"/>
      <c r="E2" s="5"/>
    </row>
    <row r="3" customFormat="false" ht="15" hidden="false" customHeight="true" outlineLevel="0" collapsed="false"/>
    <row r="4" customFormat="false" ht="30" hidden="false" customHeight="true" outlineLevel="0" collapsed="false">
      <c r="A4" s="19" t="s">
        <v>677</v>
      </c>
      <c r="B4" s="19" t="s">
        <v>678</v>
      </c>
      <c r="C4" s="19" t="s">
        <v>679</v>
      </c>
      <c r="D4" s="19" t="s">
        <v>40</v>
      </c>
      <c r="E4" s="19" t="s">
        <v>46</v>
      </c>
    </row>
    <row r="5" customFormat="false" ht="15" hidden="false" customHeight="true" outlineLevel="0" collapsed="false">
      <c r="A5" s="20" t="s">
        <v>680</v>
      </c>
      <c r="B5" s="21" t="s">
        <v>681</v>
      </c>
      <c r="C5" s="21" t="s">
        <v>682</v>
      </c>
      <c r="D5" s="21" t="s">
        <v>3</v>
      </c>
      <c r="E5" s="21"/>
    </row>
    <row r="6" customFormat="false" ht="63.75" hidden="false" customHeight="true" outlineLevel="0" collapsed="false">
      <c r="A6" s="20" t="s">
        <v>555</v>
      </c>
      <c r="B6" s="21" t="s">
        <v>683</v>
      </c>
      <c r="C6" s="21" t="s">
        <v>684</v>
      </c>
      <c r="D6" s="21" t="s">
        <v>685</v>
      </c>
      <c r="E6" s="21" t="s">
        <v>686</v>
      </c>
    </row>
    <row r="7" customFormat="false" ht="38.25" hidden="false" customHeight="true" outlineLevel="0" collapsed="false">
      <c r="A7" s="20" t="s">
        <v>687</v>
      </c>
      <c r="B7" s="21" t="s">
        <v>688</v>
      </c>
      <c r="C7" s="21" t="s">
        <v>689</v>
      </c>
      <c r="D7" s="21" t="s">
        <v>3</v>
      </c>
      <c r="E7" s="21" t="s">
        <v>690</v>
      </c>
    </row>
    <row r="8" customFormat="false" ht="25.5" hidden="false" customHeight="true" outlineLevel="0" collapsed="false">
      <c r="A8" s="20" t="s">
        <v>691</v>
      </c>
      <c r="B8" s="21" t="s">
        <v>692</v>
      </c>
      <c r="C8" s="21" t="s">
        <v>693</v>
      </c>
      <c r="D8" s="21" t="s">
        <v>3</v>
      </c>
      <c r="E8" s="21"/>
    </row>
    <row r="9" customFormat="false" ht="38.25" hidden="false" customHeight="true" outlineLevel="0" collapsed="false">
      <c r="A9" s="20" t="s">
        <v>694</v>
      </c>
      <c r="B9" s="21" t="s">
        <v>695</v>
      </c>
      <c r="C9" s="21" t="s">
        <v>696</v>
      </c>
      <c r="D9" s="21" t="s">
        <v>3</v>
      </c>
      <c r="E9" s="21"/>
    </row>
    <row r="10" customFormat="false" ht="25.5" hidden="false" customHeight="true" outlineLevel="0" collapsed="false">
      <c r="A10" s="20" t="s">
        <v>697</v>
      </c>
      <c r="B10" s="21" t="s">
        <v>698</v>
      </c>
      <c r="C10" s="21" t="s">
        <v>699</v>
      </c>
      <c r="D10" s="21" t="s">
        <v>3</v>
      </c>
      <c r="E10" s="21" t="s">
        <v>700</v>
      </c>
    </row>
    <row r="11" customFormat="false" ht="25.5" hidden="false" customHeight="true" outlineLevel="0" collapsed="false">
      <c r="A11" s="20" t="s">
        <v>701</v>
      </c>
      <c r="B11" s="21" t="s">
        <v>702</v>
      </c>
      <c r="C11" s="21" t="s">
        <v>703</v>
      </c>
      <c r="D11" s="21" t="s">
        <v>3</v>
      </c>
      <c r="E11" s="21" t="s">
        <v>704</v>
      </c>
    </row>
    <row r="12" customFormat="false" ht="51" hidden="false" customHeight="true" outlineLevel="0" collapsed="false">
      <c r="A12" s="20" t="s">
        <v>705</v>
      </c>
      <c r="B12" s="21" t="s">
        <v>706</v>
      </c>
      <c r="C12" s="21" t="s">
        <v>707</v>
      </c>
      <c r="D12" s="21" t="s">
        <v>708</v>
      </c>
      <c r="E12" s="21" t="s">
        <v>709</v>
      </c>
    </row>
    <row r="13" customFormat="false" ht="38.25" hidden="false" customHeight="true" outlineLevel="0" collapsed="false">
      <c r="A13" s="20" t="s">
        <v>710</v>
      </c>
      <c r="B13" s="21" t="s">
        <v>711</v>
      </c>
      <c r="C13" s="21" t="s">
        <v>712</v>
      </c>
      <c r="D13" s="21" t="s">
        <v>713</v>
      </c>
      <c r="E13" s="21" t="s">
        <v>658</v>
      </c>
    </row>
    <row r="14" customFormat="false" ht="51" hidden="false" customHeight="true" outlineLevel="0" collapsed="false">
      <c r="A14" s="20" t="s">
        <v>714</v>
      </c>
      <c r="B14" s="21" t="s">
        <v>715</v>
      </c>
      <c r="C14" s="21" t="s">
        <v>716</v>
      </c>
      <c r="D14" s="21" t="s">
        <v>3</v>
      </c>
      <c r="E14" s="21" t="s">
        <v>717</v>
      </c>
    </row>
    <row r="15" customFormat="false" ht="25.5" hidden="false" customHeight="true" outlineLevel="0" collapsed="false">
      <c r="A15" s="20" t="s">
        <v>718</v>
      </c>
      <c r="B15" s="21" t="s">
        <v>719</v>
      </c>
      <c r="C15" s="21" t="s">
        <v>720</v>
      </c>
      <c r="D15" s="21" t="s">
        <v>3</v>
      </c>
      <c r="E15" s="21"/>
    </row>
    <row r="16" customFormat="false" ht="25.5" hidden="false" customHeight="true" outlineLevel="0" collapsed="false">
      <c r="A16" s="20" t="s">
        <v>140</v>
      </c>
      <c r="B16" s="21" t="s">
        <v>721</v>
      </c>
      <c r="C16" s="21" t="s">
        <v>722</v>
      </c>
      <c r="D16" s="21" t="s">
        <v>3</v>
      </c>
      <c r="E16" s="21"/>
    </row>
    <row r="17" customFormat="false" ht="38.25" hidden="false" customHeight="true" outlineLevel="0" collapsed="false">
      <c r="A17" s="20" t="s">
        <v>723</v>
      </c>
      <c r="B17" s="21" t="s">
        <v>724</v>
      </c>
      <c r="C17" s="21" t="s">
        <v>725</v>
      </c>
      <c r="D17" s="21" t="s">
        <v>3</v>
      </c>
      <c r="E17" s="21" t="s">
        <v>726</v>
      </c>
    </row>
    <row r="18" customFormat="false" ht="153" hidden="false" customHeight="true" outlineLevel="0" collapsed="false">
      <c r="A18" s="20" t="s">
        <v>546</v>
      </c>
      <c r="B18" s="21" t="s">
        <v>727</v>
      </c>
      <c r="C18" s="21" t="s">
        <v>728</v>
      </c>
      <c r="D18" s="21" t="s">
        <v>3</v>
      </c>
      <c r="E18" s="21" t="s">
        <v>729</v>
      </c>
    </row>
    <row r="19" customFormat="false" ht="25.5" hidden="false" customHeight="true" outlineLevel="0" collapsed="false">
      <c r="A19" s="20" t="s">
        <v>730</v>
      </c>
      <c r="B19" s="21" t="s">
        <v>731</v>
      </c>
      <c r="C19" s="21" t="s">
        <v>732</v>
      </c>
      <c r="D19" s="21" t="s">
        <v>7</v>
      </c>
      <c r="E19" s="21"/>
    </row>
    <row r="20" customFormat="false" ht="25.5" hidden="false" customHeight="true" outlineLevel="0" collapsed="false">
      <c r="A20" s="20" t="s">
        <v>564</v>
      </c>
      <c r="B20" s="21" t="s">
        <v>733</v>
      </c>
      <c r="C20" s="21" t="s">
        <v>734</v>
      </c>
      <c r="D20" s="21" t="s">
        <v>160</v>
      </c>
      <c r="E20" s="21" t="s">
        <v>735</v>
      </c>
    </row>
    <row r="21" customFormat="false" ht="25.5" hidden="false" customHeight="true" outlineLevel="0" collapsed="false">
      <c r="A21" s="20" t="s">
        <v>606</v>
      </c>
      <c r="B21" s="21" t="s">
        <v>736</v>
      </c>
      <c r="C21" s="21" t="s">
        <v>737</v>
      </c>
      <c r="D21" s="21" t="s">
        <v>3</v>
      </c>
      <c r="E21" s="21" t="s">
        <v>738</v>
      </c>
    </row>
    <row r="22" customFormat="false" ht="25.5" hidden="false" customHeight="true" outlineLevel="0" collapsed="false">
      <c r="A22" s="20" t="s">
        <v>581</v>
      </c>
      <c r="B22" s="21" t="s">
        <v>739</v>
      </c>
      <c r="C22" s="21" t="s">
        <v>740</v>
      </c>
      <c r="D22" s="21" t="s">
        <v>7</v>
      </c>
      <c r="E22" s="21" t="s">
        <v>741</v>
      </c>
    </row>
    <row r="23" customFormat="false" ht="25.5" hidden="false" customHeight="true" outlineLevel="0" collapsed="false">
      <c r="A23" s="20" t="s">
        <v>742</v>
      </c>
      <c r="B23" s="21" t="s">
        <v>743</v>
      </c>
      <c r="C23" s="21" t="s">
        <v>744</v>
      </c>
      <c r="D23" s="21" t="s">
        <v>7</v>
      </c>
      <c r="E23" s="21" t="s">
        <v>745</v>
      </c>
    </row>
    <row r="24" customFormat="false" ht="25.5" hidden="false" customHeight="true" outlineLevel="0" collapsed="false">
      <c r="A24" s="20" t="s">
        <v>746</v>
      </c>
      <c r="B24" s="21" t="s">
        <v>747</v>
      </c>
      <c r="C24" s="21" t="s">
        <v>748</v>
      </c>
      <c r="D24" s="21" t="s">
        <v>7</v>
      </c>
      <c r="E24" s="21" t="s">
        <v>745</v>
      </c>
    </row>
    <row r="25" customFormat="false" ht="25.5" hidden="false" customHeight="true" outlineLevel="0" collapsed="false">
      <c r="A25" s="20" t="s">
        <v>749</v>
      </c>
      <c r="B25" s="21" t="s">
        <v>750</v>
      </c>
      <c r="C25" s="21" t="s">
        <v>751</v>
      </c>
      <c r="D25" s="21" t="s">
        <v>7</v>
      </c>
      <c r="E25" s="21" t="s">
        <v>745</v>
      </c>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E19"/>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8"/>
    <col collapsed="false" customWidth="true" hidden="false" outlineLevel="0" max="2" min="2" style="1" width="10"/>
    <col collapsed="false" customWidth="true" hidden="false" outlineLevel="0" max="3" min="3" style="1" width="40"/>
    <col collapsed="false" customWidth="true" hidden="false" outlineLevel="0" max="4" min="4" style="1" width="14"/>
    <col collapsed="false" customWidth="true" hidden="false" outlineLevel="0" max="5" min="5" style="1" width="44"/>
    <col collapsed="false" customWidth="true" hidden="false" outlineLevel="0" max="26" min="6" style="1" width="8.71"/>
  </cols>
  <sheetData>
    <row r="1" customFormat="false" ht="17.25" hidden="false" customHeight="true" outlineLevel="0" collapsed="false">
      <c r="A1" s="23" t="s">
        <v>752</v>
      </c>
    </row>
    <row r="2" customFormat="false" ht="15" hidden="false" customHeight="true" outlineLevel="0" collapsed="false">
      <c r="A2" s="1" t="s">
        <v>753</v>
      </c>
    </row>
    <row r="3" customFormat="false" ht="15" hidden="false" customHeight="true" outlineLevel="0" collapsed="false">
      <c r="A3" s="19" t="s">
        <v>754</v>
      </c>
      <c r="B3" s="19" t="s">
        <v>755</v>
      </c>
      <c r="C3" s="19" t="s">
        <v>756</v>
      </c>
      <c r="D3" s="19" t="s">
        <v>757</v>
      </c>
      <c r="E3" s="19" t="s">
        <v>46</v>
      </c>
    </row>
    <row r="4" customFormat="false" ht="23.25" hidden="false" customHeight="true" outlineLevel="0" collapsed="false">
      <c r="A4" s="20" t="s">
        <v>758</v>
      </c>
      <c r="B4" s="21" t="s">
        <v>57</v>
      </c>
      <c r="C4" s="21" t="s">
        <v>759</v>
      </c>
      <c r="D4" s="21" t="s">
        <v>760</v>
      </c>
      <c r="E4" s="21" t="s">
        <v>761</v>
      </c>
    </row>
    <row r="5" customFormat="false" ht="15" hidden="false" customHeight="true" outlineLevel="0" collapsed="false">
      <c r="A5" s="20" t="s">
        <v>762</v>
      </c>
      <c r="B5" s="21" t="s">
        <v>65</v>
      </c>
      <c r="C5" s="21" t="s">
        <v>763</v>
      </c>
      <c r="D5" s="21" t="s">
        <v>760</v>
      </c>
      <c r="E5" s="21"/>
    </row>
    <row r="6" customFormat="false" ht="15" hidden="false" customHeight="true" outlineLevel="0" collapsed="false">
      <c r="A6" s="20" t="s">
        <v>764</v>
      </c>
      <c r="B6" s="21" t="s">
        <v>65</v>
      </c>
      <c r="C6" s="21" t="s">
        <v>763</v>
      </c>
      <c r="D6" s="21" t="s">
        <v>765</v>
      </c>
      <c r="E6" s="21" t="s">
        <v>766</v>
      </c>
    </row>
    <row r="7" customFormat="false" ht="15" hidden="false" customHeight="true" outlineLevel="0" collapsed="false">
      <c r="A7" s="20" t="s">
        <v>767</v>
      </c>
      <c r="B7" s="21" t="s">
        <v>100</v>
      </c>
      <c r="C7" s="21" t="s">
        <v>768</v>
      </c>
      <c r="D7" s="21" t="s">
        <v>765</v>
      </c>
      <c r="E7" s="21" t="s">
        <v>769</v>
      </c>
    </row>
    <row r="8" customFormat="false" ht="15" hidden="false" customHeight="true" outlineLevel="0" collapsed="false">
      <c r="A8" s="20" t="s">
        <v>770</v>
      </c>
      <c r="B8" s="21" t="s">
        <v>109</v>
      </c>
      <c r="C8" s="21" t="s">
        <v>763</v>
      </c>
      <c r="D8" s="21" t="s">
        <v>765</v>
      </c>
      <c r="E8" s="21"/>
    </row>
    <row r="9" customFormat="false" ht="15" hidden="false" customHeight="true" outlineLevel="0" collapsed="false">
      <c r="A9" s="20" t="s">
        <v>771</v>
      </c>
      <c r="B9" s="21" t="s">
        <v>109</v>
      </c>
      <c r="C9" s="21" t="s">
        <v>772</v>
      </c>
      <c r="D9" s="21" t="s">
        <v>765</v>
      </c>
      <c r="E9" s="21" t="s">
        <v>773</v>
      </c>
    </row>
    <row r="10" customFormat="false" ht="15" hidden="false" customHeight="true" outlineLevel="0" collapsed="false">
      <c r="A10" s="20" t="s">
        <v>774</v>
      </c>
      <c r="B10" s="21" t="s">
        <v>109</v>
      </c>
      <c r="C10" s="21" t="s">
        <v>763</v>
      </c>
      <c r="D10" s="21" t="s">
        <v>765</v>
      </c>
      <c r="E10" s="21"/>
    </row>
    <row r="11" customFormat="false" ht="15" hidden="false" customHeight="true" outlineLevel="0" collapsed="false">
      <c r="A11" s="20" t="s">
        <v>775</v>
      </c>
      <c r="B11" s="21" t="s">
        <v>109</v>
      </c>
      <c r="C11" s="21" t="s">
        <v>776</v>
      </c>
      <c r="D11" s="21" t="s">
        <v>765</v>
      </c>
      <c r="E11" s="21" t="s">
        <v>777</v>
      </c>
    </row>
    <row r="12" customFormat="false" ht="15" hidden="false" customHeight="true" outlineLevel="0" collapsed="false">
      <c r="A12" s="20" t="s">
        <v>778</v>
      </c>
      <c r="B12" s="21" t="s">
        <v>109</v>
      </c>
      <c r="C12" s="21" t="s">
        <v>763</v>
      </c>
      <c r="D12" s="21" t="s">
        <v>765</v>
      </c>
      <c r="E12" s="21"/>
    </row>
    <row r="13" customFormat="false" ht="15" hidden="false" customHeight="true" outlineLevel="0" collapsed="false">
      <c r="A13" s="20" t="s">
        <v>779</v>
      </c>
      <c r="B13" s="21" t="s">
        <v>109</v>
      </c>
      <c r="C13" s="21" t="s">
        <v>763</v>
      </c>
      <c r="D13" s="21" t="s">
        <v>765</v>
      </c>
      <c r="E13" s="21"/>
    </row>
    <row r="14" customFormat="false" ht="15" hidden="false" customHeight="true" outlineLevel="0" collapsed="false">
      <c r="A14" s="20" t="s">
        <v>780</v>
      </c>
      <c r="B14" s="21" t="s">
        <v>109</v>
      </c>
      <c r="C14" s="21" t="s">
        <v>781</v>
      </c>
      <c r="D14" s="21" t="s">
        <v>765</v>
      </c>
      <c r="E14" s="21" t="s">
        <v>782</v>
      </c>
    </row>
    <row r="15" customFormat="false" ht="15" hidden="false" customHeight="true" outlineLevel="0" collapsed="false">
      <c r="A15" s="20" t="s">
        <v>783</v>
      </c>
      <c r="B15" s="21" t="s">
        <v>109</v>
      </c>
      <c r="C15" s="21" t="s">
        <v>784</v>
      </c>
      <c r="D15" s="21" t="s">
        <v>765</v>
      </c>
      <c r="E15" s="21"/>
    </row>
    <row r="16" customFormat="false" ht="15" hidden="false" customHeight="true" outlineLevel="0" collapsed="false">
      <c r="A16" s="20" t="s">
        <v>785</v>
      </c>
      <c r="B16" s="21" t="s">
        <v>109</v>
      </c>
      <c r="C16" s="21" t="s">
        <v>786</v>
      </c>
      <c r="D16" s="21" t="s">
        <v>765</v>
      </c>
      <c r="E16" s="21" t="s">
        <v>787</v>
      </c>
    </row>
    <row r="17" customFormat="false" ht="15" hidden="false" customHeight="true" outlineLevel="0" collapsed="false">
      <c r="A17" s="20" t="s">
        <v>788</v>
      </c>
      <c r="B17" s="21" t="s">
        <v>109</v>
      </c>
      <c r="C17" s="21" t="s">
        <v>789</v>
      </c>
      <c r="D17" s="21" t="s">
        <v>765</v>
      </c>
      <c r="E17" s="21" t="s">
        <v>790</v>
      </c>
    </row>
    <row r="18" customFormat="false" ht="15" hidden="false" customHeight="true" outlineLevel="0" collapsed="false">
      <c r="A18" s="20" t="s">
        <v>73</v>
      </c>
      <c r="B18" s="21" t="s">
        <v>72</v>
      </c>
      <c r="C18" s="21" t="s">
        <v>791</v>
      </c>
      <c r="D18" s="21" t="s">
        <v>765</v>
      </c>
      <c r="E18" s="21" t="s">
        <v>792</v>
      </c>
    </row>
    <row r="19" customFormat="false" ht="15" hidden="false" customHeight="true" outlineLevel="0" collapsed="false">
      <c r="A19" s="20" t="s">
        <v>793</v>
      </c>
      <c r="B19" s="21" t="s">
        <v>72</v>
      </c>
      <c r="C19" s="21" t="s">
        <v>784</v>
      </c>
      <c r="D19" s="21" t="s">
        <v>765</v>
      </c>
      <c r="E19" s="21" t="s">
        <v>792</v>
      </c>
    </row>
    <row r="20" customFormat="false" ht="15" hidden="false" customHeight="true" outlineLevel="0" collapsed="false">
      <c r="A20" s="20" t="s">
        <v>794</v>
      </c>
      <c r="B20" s="21" t="s">
        <v>81</v>
      </c>
      <c r="C20" s="21" t="s">
        <v>795</v>
      </c>
      <c r="D20" s="21" t="s">
        <v>765</v>
      </c>
      <c r="E20" s="21" t="s">
        <v>796</v>
      </c>
    </row>
    <row r="21" customFormat="false" ht="15.75" hidden="false" customHeight="true" outlineLevel="0" collapsed="false">
      <c r="A21" s="20" t="s">
        <v>797</v>
      </c>
      <c r="B21" s="21" t="s">
        <v>134</v>
      </c>
      <c r="C21" s="21" t="s">
        <v>798</v>
      </c>
      <c r="D21" s="21" t="s">
        <v>760</v>
      </c>
      <c r="E21" s="21" t="s">
        <v>799</v>
      </c>
    </row>
    <row r="22" customFormat="false" ht="15.75" hidden="false" customHeight="true" outlineLevel="0" collapsed="false">
      <c r="A22" s="20" t="s">
        <v>800</v>
      </c>
      <c r="B22" s="21" t="s">
        <v>100</v>
      </c>
      <c r="C22" s="21" t="s">
        <v>784</v>
      </c>
      <c r="D22" s="21" t="s">
        <v>760</v>
      </c>
      <c r="E22" s="21"/>
    </row>
    <row r="23" customFormat="false" ht="15.75" hidden="false" customHeight="true" outlineLevel="0" collapsed="false">
      <c r="A23" s="20" t="s">
        <v>801</v>
      </c>
      <c r="B23" s="21" t="s">
        <v>100</v>
      </c>
      <c r="C23" s="21" t="s">
        <v>784</v>
      </c>
      <c r="D23" s="21" t="s">
        <v>760</v>
      </c>
      <c r="E23" s="21"/>
    </row>
    <row r="24" customFormat="false" ht="15.75" hidden="false" customHeight="true" outlineLevel="0" collapsed="false">
      <c r="A24" s="20" t="s">
        <v>802</v>
      </c>
      <c r="B24" s="21" t="s">
        <v>100</v>
      </c>
      <c r="C24" s="21" t="s">
        <v>784</v>
      </c>
      <c r="D24" s="21" t="s">
        <v>760</v>
      </c>
      <c r="E24" s="21"/>
    </row>
    <row r="25" customFormat="false" ht="15.75" hidden="false" customHeight="true" outlineLevel="0" collapsed="false">
      <c r="A25" s="20" t="s">
        <v>803</v>
      </c>
      <c r="B25" s="21" t="s">
        <v>100</v>
      </c>
      <c r="C25" s="21" t="s">
        <v>784</v>
      </c>
      <c r="D25" s="21" t="s">
        <v>760</v>
      </c>
      <c r="E25" s="21"/>
    </row>
    <row r="26" customFormat="false" ht="15.75" hidden="false" customHeight="true" outlineLevel="0" collapsed="false">
      <c r="A26" s="20" t="s">
        <v>804</v>
      </c>
      <c r="B26" s="21" t="s">
        <v>100</v>
      </c>
      <c r="C26" s="21" t="s">
        <v>784</v>
      </c>
      <c r="D26" s="21" t="s">
        <v>760</v>
      </c>
      <c r="E26" s="21" t="s">
        <v>805</v>
      </c>
    </row>
    <row r="27" customFormat="false" ht="15.75" hidden="false" customHeight="true" outlineLevel="0" collapsed="false">
      <c r="A27" s="20" t="s">
        <v>806</v>
      </c>
      <c r="B27" s="21" t="s">
        <v>100</v>
      </c>
      <c r="C27" s="21" t="s">
        <v>784</v>
      </c>
      <c r="D27" s="21" t="s">
        <v>765</v>
      </c>
      <c r="E27" s="21"/>
    </row>
    <row r="28" customFormat="false" ht="15.75" hidden="false" customHeight="true" outlineLevel="0" collapsed="false">
      <c r="A28" s="20" t="s">
        <v>807</v>
      </c>
      <c r="B28" s="21" t="s">
        <v>100</v>
      </c>
      <c r="C28" s="21" t="s">
        <v>784</v>
      </c>
      <c r="D28" s="21" t="s">
        <v>765</v>
      </c>
      <c r="E28" s="21" t="s">
        <v>808</v>
      </c>
    </row>
    <row r="29" customFormat="false" ht="15.75" hidden="false" customHeight="true" outlineLevel="0" collapsed="false">
      <c r="A29" s="20" t="s">
        <v>809</v>
      </c>
      <c r="B29" s="21" t="s">
        <v>100</v>
      </c>
      <c r="C29" s="21" t="s">
        <v>784</v>
      </c>
      <c r="D29" s="21" t="s">
        <v>810</v>
      </c>
      <c r="E29" s="21" t="s">
        <v>811</v>
      </c>
    </row>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2026-09-22T05:27:47Z</dcterms:created>
  <dc:creator>openpyxl</dc:creator>
  <dc:description/>
  <dc:language>en-US</dc:language>
  <cp:lastModifiedBy/>
  <dcterms:modified xsi:type="dcterms:W3CDTF">2026-09-29T08:27:41Z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