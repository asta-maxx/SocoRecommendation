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1 Events" sheetId="2" state="visible" r:id="rId4"/>
    <sheet name="2 Fields" sheetId="3" state="visible" r:id="rId5"/>
    <sheet name="3 Data model changes" sheetId="4" state="visible" r:id="rId6"/>
    <sheet name="Rules" sheetId="5" state="visible" r:id="rId7"/>
  </sheets>
  <definedNames>
    <definedName function="false" hidden="true" localSheetId="1" name="_xlnm._FilterDatabase" vbProcedure="false">'1 Events'!$A$4:$L$17</definedName>
    <definedName function="false" hidden="true" localSheetId="2" name="_xlnm._FilterDatabase" vbProcedure="false">'2 Fields'!$A$4:$N$69</definedName>
    <definedName function="false" hidden="true" localSheetId="3" name="_xlnm._FilterDatabase" vbProcedure="false">'3 Data model changes'!$A$4:$J$13</definedName>
    <definedName function="false" hidden="true" localSheetId="4" name="_xlnm._FilterDatabase" vbProcedure="false">Rules!$A$4:$E$19</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E18" authorId="0">
      <text>
        <r>
          <rPr>
            <sz val="10"/>
            <rFont val="Arial"/>
            <family val="2"/>
          </rPr>
          <t xml:space="preserve">KalaNisha G:
Ignore the yellow highlighted text. Its for my reference
</t>
        </r>
      </text>
    </comment>
  </commentList>
</comments>
</file>

<file path=xl/sharedStrings.xml><?xml version="1.0" encoding="utf-8"?>
<sst xmlns="http://schemas.openxmlformats.org/spreadsheetml/2006/main" count="1246" uniqueCount="648">
  <si>
    <t xml:space="preserve">Capture register (SOCO-REC-DS-003a)</t>
  </si>
  <si>
    <t xml:space="preserve">What this is</t>
  </si>
  <si>
    <t xml:space="preserve">The single list of what the app, the backend and the recommendation service must capture, field by field. Updated 22 September 2026. The Wave 1A build list wins where the two differ.</t>
  </si>
  <si>
    <t xml:space="preserve">Aravinth</t>
  </si>
  <si>
    <t xml:space="preserve">For each of your rows, "What must be built" / "What the value must be" is the rule you have to code to. "How to check it is right" is how you will check your own work.</t>
  </si>
  <si>
    <t xml:space="preserve">What is in it</t>
  </si>
  <si>
    <t xml:space="preserve">13 events, 65 fields and 9 data model changes, plus the Rules sheet that most rows point to.</t>
  </si>
  <si>
    <t xml:space="preserve">Allen</t>
  </si>
  <si>
    <t xml:space="preserve">Builds your rows (E1, served_items, the ingest route, ml_events) the same way, and reports status the same way.</t>
  </si>
  <si>
    <t xml:space="preserve">How to read a row</t>
  </si>
  <si>
    <t xml:space="preserve">Status says where it stood on 22 September 2026. For a built row, Built on / due by is the build date. For rows still to build it is blank: the step each row sits in is in the Wave 1A build list, which also names the item (APP, DB or ENG) that builds it. What must be built / What the value must be is the rule to build and test against. Decided in lists the related codes in this register.</t>
  </si>
  <si>
    <t xml:space="preserve">Run the code test. The test reads the register. Generate the schema file both sides build against from it.</t>
  </si>
  <si>
    <t xml:space="preserve">Built</t>
  </si>
  <si>
    <t xml:space="preserve">Reported built. Checked by the How to check column.</t>
  </si>
  <si>
    <t xml:space="preserve">Report failures in two kinds: names missing from the register, or the test not being able to read the layout.</t>
  </si>
  <si>
    <t xml:space="preserve">Verify</t>
  </si>
  <si>
    <t xml:space="preserve">Reported built, one check still to run.</t>
  </si>
  <si>
    <t xml:space="preserve">Keeps the register in step with the build list: dates every change in the Note, and adds rows only for new fields in the API contract.</t>
  </si>
  <si>
    <t xml:space="preserve">To build</t>
  </si>
  <si>
    <t xml:space="preserve">Accepted, not built yet. The step is in the Wave 1A build list.</t>
  </si>
  <si>
    <t xml:space="preserve">Deferred</t>
  </si>
  <si>
    <t xml:space="preserve">After Wave 1A. The consequence is in the Note.</t>
  </si>
  <si>
    <t xml:space="preserve">Closed</t>
  </si>
  <si>
    <t xml:space="preserve">Nothing to build: already captured or not needed.</t>
  </si>
  <si>
    <t xml:space="preserve">Changing a row</t>
  </si>
  <si>
    <t xml:space="preserve">Change it here and date the change in the Note. Any change to an event, a field or a retention period is agreed in writing by Allen and Aravinth first.</t>
  </si>
  <si>
    <t xml:space="preserve">History</t>
  </si>
  <si>
    <t xml:space="preserve">Earlier versions are withdrawn. This is the only version.</t>
  </si>
  <si>
    <t xml:space="preserve">Where things stand</t>
  </si>
  <si>
    <t xml:space="preserve">Status</t>
  </si>
  <si>
    <t xml:space="preserve">Events</t>
  </si>
  <si>
    <t xml:space="preserve">Fields</t>
  </si>
  <si>
    <t xml:space="preserve">Data model changes</t>
  </si>
  <si>
    <t xml:space="preserve">To build (dates in the build list)</t>
  </si>
  <si>
    <t xml:space="preserve">Total</t>
  </si>
  <si>
    <t xml:space="preserve">One row per event. Status says where it stands; the date is when it was built or the date the owner committed to. Grey rows need nothing in Wave 1A.</t>
  </si>
  <si>
    <t xml:space="preserve">ID</t>
  </si>
  <si>
    <t xml:space="preserve">Event name</t>
  </si>
  <si>
    <t xml:space="preserve">Fired when</t>
  </si>
  <si>
    <t xml:space="preserve">Priority</t>
  </si>
  <si>
    <t xml:space="preserve">Owner</t>
  </si>
  <si>
    <t xml:space="preserve">Built on / due by</t>
  </si>
  <si>
    <t xml:space="preserve">What must be built</t>
  </si>
  <si>
    <t xml:space="preserve">How to check it is right</t>
  </si>
  <si>
    <t xml:space="preserve">Why it is needed</t>
  </si>
  <si>
    <t xml:space="preserve">Decided in</t>
  </si>
  <si>
    <t xml:space="preserve">Note</t>
  </si>
  <si>
    <t xml:space="preserve">E1</t>
  </si>
  <si>
    <t xml:space="preserve">recommendation_request</t>
  </si>
  <si>
    <t xml:space="preserve">Any surface asks for a list of items to show</t>
  </si>
  <si>
    <t xml:space="preserve">Blocking</t>
  </si>
  <si>
    <t xml:space="preserve">Allen; Aravinth for fallback</t>
  </si>
  <si>
    <t xml:space="preserve">The service writes one E1 per list it returns, carrying the request_id it returns to SOCO_BE and served_items, the items actually returned. When the fallback ordering is served, SOCO_BE writes E1 itself with policy_id 'delivered' (X-03).</t>
  </si>
  <si>
    <t xml:space="preserve">One E1 per served list. Its request_id is the one returned to the app. served_items is present, so unseen items can be derived.</t>
  </si>
  <si>
    <t xml:space="preserve">Creates the request identifier that ties everything else together. Without it, no other event can be linked to a decision.</t>
  </si>
  <si>
    <t xml:space="preserve">E1, X-03</t>
  </si>
  <si>
    <t xml:space="preserve">Today recommendationrequests is written by getDashboardFeed in feedController.js. Dates: see the build list (ENG-06, APP-15).</t>
  </si>
  <si>
    <t xml:space="preserve">E2</t>
  </si>
  <si>
    <t xml:space="preserve">recommendation_impression</t>
  </si>
  <si>
    <t xml:space="preserve">An item is at least 50% on screen</t>
  </si>
  <si>
    <t xml:space="preserve">Fired from the existing VisibilityDetector callbacks. One impression per item per request, sent when the item leaves the screen after being seen, or when the app goes to background. Not sent again if the item comes back in the same request. Items served but never seen are not sent.</t>
  </si>
  <si>
    <t xml:space="preserve">Scroll a feed: one event per item that was at least 50% on screen, none for items never reached, none repeated within a request.</t>
  </si>
  <si>
    <t xml:space="preserve">Records what was shown and in what position. This is the comparison the engine learns from, more than the clicks themselves.</t>
  </si>
  <si>
    <t xml:space="preserve">E2, X-04, X-05</t>
  </si>
  <si>
    <t xml:space="preserve">Sent today to POST /feed/impression and written to recommendationimpressions; moves to the single path under X-02 (APP-12). Incognito suppression: APP-04.</t>
  </si>
  <si>
    <t xml:space="preserve">E3</t>
  </si>
  <si>
    <t xml:space="preserve">recommendation_click</t>
  </si>
  <si>
    <t xml:space="preserve">User taps a card</t>
  </si>
  <si>
    <t xml:space="preserve">A card-level tap that opens post detail (or product detail on a product card) fires E3 alongside the navigation. Taps on like, comment, share or save are E9, not E3.</t>
  </si>
  <si>
    <t xml:space="preserve">Tap an item and confirm the event carries the same request_id as the impression for that item.</t>
  </si>
  <si>
    <t xml:space="preserve">The positive signal. Only meaningful when paired with the impressions that were not clicked.</t>
  </si>
  <si>
    <t xml:space="preserve">Sent today to POST /feed/click and written to recommendationclicks; moves to the single path under X-02.</t>
  </si>
  <si>
    <t xml:space="preserve">E4</t>
  </si>
  <si>
    <t xml:space="preserve">add_to_cart</t>
  </si>
  <si>
    <t xml:space="preserve">User adds a product to cart</t>
  </si>
  <si>
    <t xml:space="preserve">Important</t>
  </si>
  <si>
    <t xml:space="preserve">Fire after every successful cart write, including quantity increases (no 'first add only' rule). Carry request_id from the cart line (X-07) and user_id.</t>
  </si>
  <si>
    <t xml:space="preserve">Add the same product twice: two events, each with the quantity added and the request_id of the list the product came from.</t>
  </si>
  <si>
    <t xml:space="preserve">Links an add-to-cart to the list that showed the product. The engine uses it to measure the product surface (ENG-26) and for product popularity (ENG-17).</t>
  </si>
  <si>
    <t xml:space="preserve">E4, X-07</t>
  </si>
  <si>
    <t xml:space="preserve">Blocked on F20: the cart has no request_id field yet.</t>
  </si>
  <si>
    <t xml:space="preserve">E5</t>
  </si>
  <si>
    <t xml:space="preserve">order_placed</t>
  </si>
  <si>
    <t xml:space="preserve">Once, on successful order creation, whether or not the order has a post_id. Never on a failed or retried save.</t>
  </si>
  <si>
    <t xml:space="preserve">Fire once, when an order is successfully created, whether or not it has a post_id. One event per order, never on a failed save.</t>
  </si>
  <si>
    <t xml:space="preserve">Place orders with and without a post_id: one event per order in both cases.</t>
  </si>
  <si>
    <t xml:space="preserve">The commercial outcome record in ml_events, for the next wave's learned models. In Wave 1A the engine reads orders directly from the orders collection (ENG-03).</t>
  </si>
  <si>
    <t xml:space="preserve">The order fields are built (F24 to F28). The event itself: APP-07.</t>
  </si>
  <si>
    <t xml:space="preserve">E6</t>
  </si>
  <si>
    <t xml:space="preserve">order_state_changed</t>
  </si>
  <si>
    <t xml:space="preserve">order_status changes</t>
  </si>
  <si>
    <t xml:space="preserve">Fire after the save from every handler and job that writes order_status: confirm by seller, confirm by user, shipped, delivered, cancel by user, cancel by seller, reject, updateOrderStatus and changePaymentBySeller. Values are order_status values. Returns are read from the order (D1), not sent as E6.</t>
  </si>
  <si>
    <t xml:space="preserve">Search the code for every write to order_status, including jobs, and confirm each emits. Counts by state reconcile with the orders collection.</t>
  </si>
  <si>
    <t xml:space="preserve">The order state history in ml_events, for the next wave's learned models. In Wave 1A the engine reads order states and returns directly from the orders collection (ENG-03).</t>
  </si>
  <si>
    <t xml:space="preserve">E6, X-13</t>
  </si>
  <si>
    <t xml:space="preserve">updateOrderStatus sets any status with no guard, and Payed Off can be reached without Delivered. The engine must not assume states arrive in order.</t>
  </si>
  <si>
    <t xml:space="preserve">E7</t>
  </si>
  <si>
    <t xml:space="preserve">payment_state_changed</t>
  </si>
  <si>
    <t xml:space="preserve">Payment settles, fails or is charged back</t>
  </si>
  <si>
    <t xml:space="preserve">Deferred to after Wave 1A. No payment webhook is built for Wave 1A.</t>
  </si>
  <si>
    <t xml:space="preserve">—</t>
  </si>
  <si>
    <t xml:space="preserve">Separates a completed sale from an abandoned one.</t>
  </si>
  <si>
    <t xml:space="preserve">Consequence: failed payments and chargebacks are not separated. Acceptable because success is order_status Delivered. Payed Off is written by changePaymentBySeller.</t>
  </si>
  <si>
    <t xml:space="preserve">E8</t>
  </si>
  <si>
    <t xml:space="preserve">commission_state_changed</t>
  </si>
  <si>
    <t xml:space="preserve">Commission is attributed, confirmed or reversed</t>
  </si>
  <si>
    <t xml:space="preserve">Deferred with Engine B. When scheduled: add a 'reversed' value, a timestamp for each transition, and the approve and pay handlers.</t>
  </si>
  <si>
    <t xml:space="preserve">The outcome signal for promoter matching.</t>
  </si>
  <si>
    <t xml:space="preserve">Records live in influencerearnings: status pending, approved or paid; commission_rate stored per record, default 10.</t>
  </si>
  <si>
    <t xml:space="preserve">E9</t>
  </si>
  <si>
    <t xml:space="preserve">social_interaction</t>
  </si>
  <si>
    <t xml:space="preserve">Like, unlike, save, unsave, share, repost, follow or unfollow</t>
  </si>
  <si>
    <t xml:space="preserve">Emitted for every action: like, unlike, save, unsave, share, repost, follow, unfollow. An undo is its own event; the original is never deleted.</t>
  </si>
  <si>
    <t xml:space="preserve">All eight actions appear across a sample, each with an actor and a timestamp.</t>
  </si>
  <si>
    <t xml:space="preserve">Kept in ml_events as the full record of social actions, including undos, for the next wave's learned models. In Wave 1A the engine reads likes, saves, comments and shares from postevents and follows from follows, so each action is counted once (ENG-03).</t>
  </si>
  <si>
    <t xml:space="preserve">E10</t>
  </si>
  <si>
    <t xml:space="preserve">opportunity_state_changed</t>
  </si>
  <si>
    <t xml:space="preserve">Promoter accepts, completes, withdraws from or lets an opportunity expire</t>
  </si>
  <si>
    <t xml:space="preserve">Deferred with Engine B. No opportunity flow exists.</t>
  </si>
  <si>
    <t xml:space="preserve">The outcome signal for promoter to opportunity matching.</t>
  </si>
  <si>
    <t xml:space="preserve">Consequence: promoter-to-opportunity matching has no outcome signal.</t>
  </si>
  <si>
    <t xml:space="preserve">E11</t>
  </si>
  <si>
    <t xml:space="preserve">search_performed</t>
  </si>
  <si>
    <t xml:space="preserve">User runs a search</t>
  </si>
  <si>
    <t xml:space="preserve">Useful</t>
  </si>
  <si>
    <t xml:space="preserve">Deferred to after Wave 1A. When scheduled, add result_categories.</t>
  </si>
  <si>
    <t xml:space="preserve">Direct statement of intent, and the strongest signal for a new user with no history.</t>
  </si>
  <si>
    <t xml:space="preserve">Consequence: a new user with no history relies on declared interests only.</t>
  </si>
  <si>
    <t xml:space="preserve">E12</t>
  </si>
  <si>
    <t xml:space="preserve">identity_stitched</t>
  </si>
  <si>
    <t xml:space="preserve">Anonymous activity is linked to an account at login</t>
  </si>
  <si>
    <t xml:space="preserve">Not needed. Login is required before any feed or product is shown, so there is no anonymous activity to stitch.</t>
  </si>
  <si>
    <t xml:space="preserve">Would preserve pre-login browsing.</t>
  </si>
  <si>
    <t xml:space="preserve">E13</t>
  </si>
  <si>
    <t xml:space="preserve">content_feedback</t>
  </si>
  <si>
    <t xml:space="preserve">User chooses not interested, hide, report or mute author on a card</t>
  </si>
  <si>
    <t xml:space="preserve">Sent when a user chooses not interested, hide, report or mute author. Fields F60 to F65. If a card's menu has no 'Not interested' choice, one is added.</t>
  </si>
  <si>
    <t xml:space="preserve">Choose each of the four options on a card: one event each, with the right target_type and feedback_type.</t>
  </si>
  <si>
    <t xml:space="preserve">The only negative signal M1 has.</t>
  </si>
  <si>
    <t xml:space="preserve">X-12</t>
  </si>
  <si>
    <t xml:space="preserve">Sent to POST /feed/content-feedback and written to contentfeedbacks; moves to the single path under X-02 (APP-12).</t>
  </si>
  <si>
    <t xml:space="preserve">One row per field. What the value must be is the rule to build and test against. Grey rows need nothing in Wave 1A.</t>
  </si>
  <si>
    <t xml:space="preserve">Event</t>
  </si>
  <si>
    <t xml:space="preserve">Field name</t>
  </si>
  <si>
    <t xml:space="preserve">Type and example</t>
  </si>
  <si>
    <t xml:space="preserve">Req ref</t>
  </si>
  <si>
    <t xml:space="preserve">What the value must be</t>
  </si>
  <si>
    <t xml:space="preserve">Why this field is needed</t>
  </si>
  <si>
    <t xml:space="preserve">F01</t>
  </si>
  <si>
    <t xml:space="preserve">request_id</t>
  </si>
  <si>
    <t xml:space="preserve">string  ·  3f1c9a2e-7b4d-4e21-9c8a-5d6e7f8a9b0c</t>
  </si>
  <si>
    <t xml:space="preserve">R1</t>
  </si>
  <si>
    <t xml:space="preserve">Generated by the recommendation service, one per list, returned in the response and written on E1.</t>
  </si>
  <si>
    <t xml:space="preserve">Sample a hundred child events and join back to the request. Zero orphans.</t>
  </si>
  <si>
    <t xml:space="preserve">The single identifier that links a request to everything that follows from it</t>
  </si>
  <si>
    <t xml:space="preserve">Built by ENG-06. The app already stores and echoes a request_id (F08).</t>
  </si>
  <si>
    <t xml:space="preserve">F02</t>
  </si>
  <si>
    <t xml:space="preserve">surface</t>
  </si>
  <si>
    <t xml:space="preserve">enum  ·  feed</t>
  </si>
  <si>
    <t xml:space="preserve">Aravinth; Allen</t>
  </si>
  <si>
    <t xml:space="preserve">Set by SOCO_BE at the call: feed or product only. products → product; for you, following, trending and local → feed. The service rejects any other value.</t>
  </si>
  <si>
    <t xml:space="preserve">Values are only feed or product. No nulls. Set at the call, never inferred.</t>
  </si>
  <si>
    <t xml:space="preserve">Which surface asked. Each surface is ranked differently</t>
  </si>
  <si>
    <t xml:space="preserve">F02, X-11</t>
  </si>
  <si>
    <t xml:space="preserve">The app also sends home_* tab values; these are not surface values. Only the For You tab calls the service, and SOCO_BE maps it to feed (APP-15). Following, Trending and Local keep their own rules. The service rejects any other surface with 400 (ENG-06).</t>
  </si>
  <si>
    <t xml:space="preserve">F03</t>
  </si>
  <si>
    <t xml:space="preserve">user_id</t>
  </si>
  <si>
    <t xml:space="preserve">string  ·  65f1a2b3c4d5e6f708192a3b</t>
  </si>
  <si>
    <t xml:space="preserve">R6</t>
  </si>
  <si>
    <t xml:space="preserve">No change. Already captured.</t>
  </si>
  <si>
    <t xml:space="preserve">Populated on every event from a logged in session, and resolves to a user document.</t>
  </si>
  <si>
    <t xml:space="preserve">Who the request was for</t>
  </si>
  <si>
    <t xml:space="preserve">F04</t>
  </si>
  <si>
    <t xml:space="preserve">session_id</t>
  </si>
  <si>
    <t xml:space="preserve">string  ·  ses_k2m9q4x1a8b3</t>
  </si>
  <si>
    <t xml:space="preserve">The app session id (X-10): generated on app open, kept across restarts, renewed after 30 minutes in background. Passed by SOCO_BE and written on E1. Null until built.</t>
  </si>
  <si>
    <t xml:space="preserve">Stable across a visit, including a cold restart. Changes after 30 minutes in background.</t>
  </si>
  <si>
    <t xml:space="preserve">Groups activity within one visit</t>
  </si>
  <si>
    <t xml:space="preserve">F04, X-10</t>
  </si>
  <si>
    <t xml:space="preserve">Today SessionService mints ses_&lt;12 chars&gt; per app process and sends it on every event, but it is not kept across restarts and not renewed.</t>
  </si>
  <si>
    <t xml:space="preserve">F05</t>
  </si>
  <si>
    <t xml:space="preserve">candidate_ids</t>
  </si>
  <si>
    <t xml:space="preserve">array  ·  [6a3fe5cf…7fe, 6a5a79d9…1dd, ...]</t>
  </si>
  <si>
    <t xml:space="preserve">R2</t>
  </si>
  <si>
    <t xml:space="preserve">Written on E1 only. Never returned to the app.</t>
  </si>
  <si>
    <t xml:space="preserve">Length is at least the number of items shown, and the items shown are all in it. On a small catalogue the two can be equal, which is correct.</t>
  </si>
  <si>
    <t xml:space="preserve">What was available to choose from, including items not shown</t>
  </si>
  <si>
    <t xml:space="preserve">Built by ENG-06.</t>
  </si>
  <si>
    <t xml:space="preserve">F06</t>
  </si>
  <si>
    <t xml:space="preserve">policy_id</t>
  </si>
  <si>
    <t xml:space="preserve">string  ·  cfg3.interest-2.promoter-1</t>
  </si>
  <si>
    <t xml:space="preserve">R3</t>
  </si>
  <si>
    <t xml:space="preserve">Allen; Aravinth</t>
  </si>
  <si>
    <t xml:space="preserve">Configuration version plus, on two-method slots, the method that served. SOCO_BE uses 'delivered' on fallback.</t>
  </si>
  <si>
    <t xml:space="preserve">Changes when the ranking configuration changes, and the change is timestamped.</t>
  </si>
  <si>
    <t xml:space="preserve">Which version of the ranking logic produced this list</t>
  </si>
  <si>
    <t xml:space="preserve">Written today as wave1a_v1. The new format (for example cfg3.interest-2.promoter-1) comes with ENG-05 and ENG-06.</t>
  </si>
  <si>
    <t xml:space="preserve">F07</t>
  </si>
  <si>
    <t xml:space="preserve">server_ts</t>
  </si>
  <si>
    <t xml:space="preserve">datetime  ·  2026-11-04T09:15:22.140Z</t>
  </si>
  <si>
    <t xml:space="preserve">R7</t>
  </si>
  <si>
    <t xml:space="preserve">UTC with milliseconds, at decision time.</t>
  </si>
  <si>
    <t xml:space="preserve">UTC, ISO 8601, millisecond precision, and not equal to the time the event was ingested.</t>
  </si>
  <si>
    <t xml:space="preserve">When the decision was made, in UTC</t>
  </si>
  <si>
    <t xml:space="preserve">F08</t>
  </si>
  <si>
    <t xml:space="preserve">The app stores request_id for each page and sends it on every impression from that page.</t>
  </si>
  <si>
    <t xml:space="preserve">Sample a hundred child events and join back to the request. Zero orphans, and no nulls.</t>
  </si>
  <si>
    <t xml:space="preserve">Links the impression back to the request</t>
  </si>
  <si>
    <t xml:space="preserve">F08, X-07</t>
  </si>
  <si>
    <t xml:space="preserve">F09</t>
  </si>
  <si>
    <t xml:space="preserve">item_id</t>
  </si>
  <si>
    <t xml:space="preserve">string  ·  6a3fe5cfcce0b0785136e7fe</t>
  </si>
  <si>
    <t xml:space="preserve">The post or product id from the callback, sent as the 24-character ObjectId string.</t>
  </si>
  <si>
    <t xml:space="preserve">Resolves to a post or product document.</t>
  </si>
  <si>
    <t xml:space="preserve">Which item was shown</t>
  </si>
  <si>
    <t xml:space="preserve">F10</t>
  </si>
  <si>
    <t xml:space="preserve">item_type</t>
  </si>
  <si>
    <t xml:space="preserve">enum  ·  product</t>
  </si>
  <si>
    <t xml:space="preserve">post for post cards, product for product cards. No other value in Wave 1A.</t>
  </si>
  <si>
    <t xml:space="preserve">Values are only post or product.</t>
  </si>
  <si>
    <t xml:space="preserve">Tells the engine what kind of card was shown</t>
  </si>
  <si>
    <t xml:space="preserve">Earlier builds sent promoter, brand or promotion; brand is now rejected.</t>
  </si>
  <si>
    <t xml:space="preserve">F11</t>
  </si>
  <si>
    <t xml:space="preserve">position</t>
  </si>
  <si>
    <t xml:space="preserve">integer  ·  4</t>
  </si>
  <si>
    <t xml:space="preserve">List index + 1 from SliverChildBuilderDelegate, in on-screen order, within each request. Each page is its own request. 0 is rejected.</t>
  </si>
  <si>
    <t xml:space="preserve">Integers from 1 upward within a single request, with no gaps in the positions served. Clicked positions need not be consecutive, and click rate need not fall at every position.</t>
  </si>
  <si>
    <t xml:space="preserve">Where it appeared. Items at the top get clicked more regardless of quality</t>
  </si>
  <si>
    <t xml:space="preserve">F11, X-06</t>
  </si>
  <si>
    <t xml:space="preserve">F12</t>
  </si>
  <si>
    <t xml:space="preserve">viewport_entered</t>
  </si>
  <si>
    <t xml:space="preserve">boolean  ·  true</t>
  </si>
  <si>
    <t xml:space="preserve">True when at least 50% of the item is on screen, for every media type. Always true on a sent impression.</t>
  </si>
  <si>
    <t xml:space="preserve">Every sent row is true. Served-but-unseen items are derived from E1 served_items, not sent.</t>
  </si>
  <si>
    <t xml:space="preserve">Whether the user actually saw it</t>
  </si>
  <si>
    <t xml:space="preserve">F12, X-04, X-05</t>
  </si>
  <si>
    <t xml:space="preserve">F13</t>
  </si>
  <si>
    <t xml:space="preserve">dwell_ms</t>
  </si>
  <si>
    <t xml:space="preserve">integer  ·  2400</t>
  </si>
  <si>
    <t xml:space="preserve">Milliseconds of the first spell on screen, sent on leave or app background. A qualified view is at least 3,000 ms.</t>
  </si>
  <si>
    <t xml:space="preserve">Positive, and not identical across items in one request.</t>
  </si>
  <si>
    <t xml:space="preserve">How long it stayed on screen. A weak signal on its own, useful in combination</t>
  </si>
  <si>
    <t xml:space="preserve">F13, X-04</t>
  </si>
  <si>
    <t xml:space="preserve">F14</t>
  </si>
  <si>
    <t xml:space="preserve">is_exploration</t>
  </si>
  <si>
    <t xml:space="preserve">boolean  ·  false</t>
  </si>
  <si>
    <t xml:space="preserve">R5</t>
  </si>
  <si>
    <t xml:space="preserve">Copied from the service response onto every impression from that list. Never computed on the device.</t>
  </si>
  <si>
    <t xml:space="preserve">Share of true rows matches the agreed percentage within about one point.</t>
  </si>
  <si>
    <t xml:space="preserve">Marks the small randomised slice of traffic</t>
  </si>
  <si>
    <t xml:space="preserve">F15</t>
  </si>
  <si>
    <t xml:space="preserve">client_ts</t>
  </si>
  <si>
    <t xml:space="preserve">datetime  ·  2026-11-04T14:45:22+05:30</t>
  </si>
  <si>
    <t xml:space="preserve">Device time with timezone offset, taken when the item is first seen. Stored exactly as sent.</t>
  </si>
  <si>
    <t xml:space="preserve">Carries a timezone offset and differs from server_ts. Never overwritten by server time.</t>
  </si>
  <si>
    <t xml:space="preserve">Device time with offset, kept separate from server time</t>
  </si>
  <si>
    <t xml:space="preserve">F16</t>
  </si>
  <si>
    <t xml:space="preserve">The same stored request_id as the impression for that item.</t>
  </si>
  <si>
    <t xml:space="preserve">Links the click to what else was on screen</t>
  </si>
  <si>
    <t xml:space="preserve">F16, X-07</t>
  </si>
  <si>
    <t xml:space="preserve">F17</t>
  </si>
  <si>
    <t xml:space="preserve">R4</t>
  </si>
  <si>
    <t xml:space="preserve">Sent from the card-level tap handler (E3).</t>
  </si>
  <si>
    <t xml:space="preserve">What was chosen</t>
  </si>
  <si>
    <t xml:space="preserve">F18</t>
  </si>
  <si>
    <t xml:space="preserve">The same index + 1 as F11.</t>
  </si>
  <si>
    <t xml:space="preserve">Position of the clicked item</t>
  </si>
  <si>
    <t xml:space="preserve">F18, X-06</t>
  </si>
  <si>
    <t xml:space="preserve">F19</t>
  </si>
  <si>
    <t xml:space="preserve">datetime  ·  2026-11-04T09:15:31.002Z</t>
  </si>
  <si>
    <t xml:space="preserve">Stamped by SOCO_BE in UTC with milliseconds when it receives the click.</t>
  </si>
  <si>
    <t xml:space="preserve">When the click happened</t>
  </si>
  <si>
    <t xml:space="preserve">F20</t>
  </si>
  <si>
    <t xml:space="preserve">Stored on the cart line at add time. Null if the product was not reached from a list.</t>
  </si>
  <si>
    <t xml:space="preserve">Sample a hundred events from recommended lists and join back to the request: zero orphans. Null only where the action was not reached from a list.</t>
  </si>
  <si>
    <t xml:space="preserve">Links the intent back to what prompted it</t>
  </si>
  <si>
    <t xml:space="preserve">F20, X-07</t>
  </si>
  <si>
    <t xml:space="preserve">The cart schema has no request_id field yet. Blocks E4 and the request_id chain from cart to order.</t>
  </si>
  <si>
    <t xml:space="preserve">F21</t>
  </si>
  <si>
    <t xml:space="preserve">product_id</t>
  </si>
  <si>
    <t xml:space="preserve">Resolves to a product document.</t>
  </si>
  <si>
    <t xml:space="preserve">Which product</t>
  </si>
  <si>
    <t xml:space="preserve">F22</t>
  </si>
  <si>
    <t xml:space="preserve">quantity</t>
  </si>
  <si>
    <t xml:space="preserve">integer  ·  2</t>
  </si>
  <si>
    <t xml:space="preserve">The quantity added in this action, sent on every add including increases.</t>
  </si>
  <si>
    <t xml:space="preserve">Positive integer.</t>
  </si>
  <si>
    <t xml:space="preserve">Strength of intent</t>
  </si>
  <si>
    <t xml:space="preserve">F23</t>
  </si>
  <si>
    <t xml:space="preserve">order_id</t>
  </si>
  <si>
    <t xml:space="preserve">string  ·  6a48cb8237a8061b26eb067d</t>
  </si>
  <si>
    <t xml:space="preserve">Resolves to an order document, and reconciles one to one with orders created in the same window.</t>
  </si>
  <si>
    <t xml:space="preserve">Order identifier</t>
  </si>
  <si>
    <t xml:space="preserve">F24</t>
  </si>
  <si>
    <t xml:space="preserve">Copied from the cart line, or from product detail on a direct buy, onto the order and the event. Null when not from a list.</t>
  </si>
  <si>
    <t xml:space="preserve">Which recommendation led to the order. The single most valuable link in the register</t>
  </si>
  <si>
    <t xml:space="preserve">F24, X-07</t>
  </si>
  <si>
    <t xml:space="preserve">orders.request_id exists. The chain through the cart depends on F20.</t>
  </si>
  <si>
    <t xml:space="preserve">F25</t>
  </si>
  <si>
    <t xml:space="preserve">line_items</t>
  </si>
  <si>
    <t xml:space="preserve">array  ·  [{product_id, variant_id, qty, price, base_price}]</t>
  </si>
  <si>
    <t xml:space="preserve">One entry per order, because each order holds one product. Baskets are recovered with checkout_id. No multi-product order is built.</t>
  </si>
  <si>
    <t xml:space="preserve">One entry on every order, matching the order's product.</t>
  </si>
  <si>
    <t xml:space="preserve">The product, variant, quantity and price on the order</t>
  </si>
  <si>
    <t xml:space="preserve">orders.line_items[] exists (reported 21 Sep).</t>
  </si>
  <si>
    <t xml:space="preserve">F26</t>
  </si>
  <si>
    <t xml:space="preserve">promoter_id</t>
  </si>
  <si>
    <t xml:space="preserve">string  ·  6a3a6df8bac0b9eb430edc7c</t>
  </si>
  <si>
    <t xml:space="preserve">The author of the order's post_id, set at order write. Null when post_id is null. No separate promo field.</t>
  </si>
  <si>
    <t xml:space="preserve">Populated on orders with a post_id and empty on the rest.</t>
  </si>
  <si>
    <t xml:space="preserve">Which promoter, if the order came through a post</t>
  </si>
  <si>
    <t xml:space="preserve">F27</t>
  </si>
  <si>
    <t xml:space="preserve">order_value</t>
  </si>
  <si>
    <t xml:space="preserve">decimal  ·  2499.00</t>
  </si>
  <si>
    <t xml:space="preserve">The order's final amount after discount, read from orders.total_price and sent as order_value.</t>
  </si>
  <si>
    <t xml:space="preserve">Matches the order total on the operational record.</t>
  </si>
  <si>
    <t xml:space="preserve">Value, for ranking by revenue rather than click count</t>
  </si>
  <si>
    <t xml:space="preserve">The field is total_price, not totalAmount.</t>
  </si>
  <si>
    <t xml:space="preserve">F28</t>
  </si>
  <si>
    <t xml:space="preserve">datetime  ·  2026-11-04T09:22:10.500Z</t>
  </si>
  <si>
    <t xml:space="preserve">The order's creation time (orders.created_at), UTC with milliseconds.</t>
  </si>
  <si>
    <t xml:space="preserve">When the order was placed</t>
  </si>
  <si>
    <t xml:space="preserve">F29</t>
  </si>
  <si>
    <t xml:space="preserve">Which order changed</t>
  </si>
  <si>
    <t xml:space="preserve">F30</t>
  </si>
  <si>
    <t xml:space="preserve">new_state</t>
  </si>
  <si>
    <t xml:space="preserve">enum  ·  Delivered</t>
  </si>
  <si>
    <t xml:space="preserve">The order_status value only (X-13).</t>
  </si>
  <si>
    <t xml:space="preserve">Every state written by the app appears at least once. Reconcile against transitions (the steps in tracking_info), not against the orders collection's current status: one order passes through several states.</t>
  </si>
  <si>
    <t xml:space="preserve">One canonical state field, usable as an outcome</t>
  </si>
  <si>
    <t xml:space="preserve">F30, X-13</t>
  </si>
  <si>
    <t xml:space="preserve">F31</t>
  </si>
  <si>
    <t xml:space="preserve">reason_code</t>
  </si>
  <si>
    <t xml:space="preserve">enum  ·  changed_mind</t>
  </si>
  <si>
    <t xml:space="preserve">Required on Cancelled and Rejected, null otherwise, from a closed list. Buyer: changed_mind, ordered_by_mistake, found_better_price, delivery_too_slow, refused_at_delivery. Seller: out_of_stock, cannot_deliver_to_address, pricing_error. System: payment_failed, auto_expired. Any cause: other. Free-text reasons kept as an optional note. Also write cancelled_by as buyer, seller or system.</t>
  </si>
  <si>
    <t xml:space="preserve">Present on every Cancelled or Rejected change, null otherwise, and only values from the list.</t>
  </si>
  <si>
    <t xml:space="preserve">Why. Separates a product problem from a delivery problem</t>
  </si>
  <si>
    <t xml:space="preserve">Stored in a new reason_code field (DB-04). The existing cancel_reason field stays as the free-text note.</t>
  </si>
  <si>
    <t xml:space="preserve">F32</t>
  </si>
  <si>
    <t xml:space="preserve">state_ts</t>
  </si>
  <si>
    <t xml:space="preserve">datetime  ·  2026-11-09T11:02:00Z</t>
  </si>
  <si>
    <t xml:space="preserve">The timestamp already pushed into tracking_info at the status write, sent as state_ts in UTC.</t>
  </si>
  <si>
    <t xml:space="preserve">Ordered correctly against the creation time, and reflects when the change happened.</t>
  </si>
  <si>
    <t xml:space="preserve">When the state changed, not when the record was written</t>
  </si>
  <si>
    <t xml:space="preserve">F33</t>
  </si>
  <si>
    <t xml:space="preserve">Deferred with E7.</t>
  </si>
  <si>
    <t xml:space="preserve">Which order</t>
  </si>
  <si>
    <t xml:space="preserve">F34</t>
  </si>
  <si>
    <t xml:space="preserve">enum  ·  settled</t>
  </si>
  <si>
    <t xml:space="preserve">Every terminal state appears at least once. Reconcile counts by state against the orders collection.</t>
  </si>
  <si>
    <t xml:space="preserve">Settled, failed or charged back</t>
  </si>
  <si>
    <t xml:space="preserve">F35</t>
  </si>
  <si>
    <t xml:space="preserve">datetime  ·  2026-11-04T09:23:40Z</t>
  </si>
  <si>
    <t xml:space="preserve">Deferred with E7. When built, use Razorpay's own event time.</t>
  </si>
  <si>
    <t xml:space="preserve">When</t>
  </si>
  <si>
    <t xml:space="preserve">F36</t>
  </si>
  <si>
    <t xml:space="preserve">commission_id</t>
  </si>
  <si>
    <t xml:space="preserve">string  ·  6a4c0e11d2a3b4c5d6e7f801</t>
  </si>
  <si>
    <t xml:space="preserve">Deferred with E8.</t>
  </si>
  <si>
    <t xml:space="preserve">Resolves to a commission record.</t>
  </si>
  <si>
    <t xml:space="preserve">Commission record identifier</t>
  </si>
  <si>
    <t xml:space="preserve">F37</t>
  </si>
  <si>
    <t xml:space="preserve">Deferred with E8. When built, send influencer_id as promoter_id.</t>
  </si>
  <si>
    <t xml:space="preserve">Populated on every commission record.</t>
  </si>
  <si>
    <t xml:space="preserve">Which promoter earned it</t>
  </si>
  <si>
    <t xml:space="preserve">F38</t>
  </si>
  <si>
    <t xml:space="preserve">Which order it came from</t>
  </si>
  <si>
    <t xml:space="preserve">F39</t>
  </si>
  <si>
    <t xml:space="preserve">enum  ·  confirmed</t>
  </si>
  <si>
    <t xml:space="preserve">Deferred with E8. When built, add 'reversed'.</t>
  </si>
  <si>
    <t xml:space="preserve">Attributed, confirmed or reversed</t>
  </si>
  <si>
    <t xml:space="preserve">F40</t>
  </si>
  <si>
    <t xml:space="preserve">amount</t>
  </si>
  <si>
    <t xml:space="preserve">decimal  ·  249.90</t>
  </si>
  <si>
    <t xml:space="preserve">Deferred with E8. When built, send commission_amount as amount.</t>
  </si>
  <si>
    <t xml:space="preserve">Matches the commission on the operational record.</t>
  </si>
  <si>
    <t xml:space="preserve">Value earned</t>
  </si>
  <si>
    <t xml:space="preserve">F41</t>
  </si>
  <si>
    <t xml:space="preserve">datetime  ·  2026-11-20T00:00:00Z</t>
  </si>
  <si>
    <t xml:space="preserve">Deferred with E8. When built, add a timestamp for each transition.</t>
  </si>
  <si>
    <t xml:space="preserve">F42</t>
  </si>
  <si>
    <t xml:space="preserve">The person acting, on every action: the follower on follow, the reposter on repost.</t>
  </si>
  <si>
    <t xml:space="preserve">Who acted</t>
  </si>
  <si>
    <t xml:space="preserve">F43</t>
  </si>
  <si>
    <t xml:space="preserve">target_id</t>
  </si>
  <si>
    <t xml:space="preserve">string  ·  6a3a9c671eb704e99a97c6d3</t>
  </si>
  <si>
    <t xml:space="preserve">The post for like, save, share and repost (the original post on a repost); the followed account for follow. A separate item_model field says which kind of target it is.</t>
  </si>
  <si>
    <t xml:space="preserve">Resolves to the item or account acted on, matching item_model.</t>
  </si>
  <si>
    <t xml:space="preserve">What they acted on</t>
  </si>
  <si>
    <t xml:space="preserve">F44</t>
  </si>
  <si>
    <t xml:space="preserve">action</t>
  </si>
  <si>
    <t xml:space="preserve">enum  ·  save</t>
  </si>
  <si>
    <t xml:space="preserve">One of like, unlike, save, unsave, share, repost, follow, unfollow.</t>
  </si>
  <si>
    <t xml:space="preserve">All eight actions appear across a sample.</t>
  </si>
  <si>
    <t xml:space="preserve">What they did. An undo is its own event</t>
  </si>
  <si>
    <t xml:space="preserve">F45</t>
  </si>
  <si>
    <t xml:space="preserve">Set when the action happened on a card in a recommended list, otherwise null.</t>
  </si>
  <si>
    <t xml:space="preserve">Where they saw it, if it came from a recommended list</t>
  </si>
  <si>
    <t xml:space="preserve">F45, X-07</t>
  </si>
  <si>
    <t xml:space="preserve">F46</t>
  </si>
  <si>
    <t xml:space="preserve">datetime  ·  2026-11-04T09:16:05Z</t>
  </si>
  <si>
    <t xml:space="preserve">UTC with milliseconds at the write. For follow, the follow document's createdAt.</t>
  </si>
  <si>
    <t xml:space="preserve">F47</t>
  </si>
  <si>
    <t xml:space="preserve">opportunity_id</t>
  </si>
  <si>
    <t xml:space="preserve">string  ·  (deferred)</t>
  </si>
  <si>
    <t xml:space="preserve">Deferred with E10.</t>
  </si>
  <si>
    <t xml:space="preserve">Resolves to an opportunity record.</t>
  </si>
  <si>
    <t xml:space="preserve">Which opportunity</t>
  </si>
  <si>
    <t xml:space="preserve">F48</t>
  </si>
  <si>
    <t xml:space="preserve">Populated on every opportunity event.</t>
  </si>
  <si>
    <t xml:space="preserve">Which promoter</t>
  </si>
  <si>
    <t xml:space="preserve">F49</t>
  </si>
  <si>
    <t xml:space="preserve">campaign_id</t>
  </si>
  <si>
    <t xml:space="preserve">Deferred with E10 and D4.</t>
  </si>
  <si>
    <t xml:space="preserve">Blank until a campaign entity exists.</t>
  </si>
  <si>
    <t xml:space="preserve">Which campaign it belongs to</t>
  </si>
  <si>
    <t xml:space="preserve">F50</t>
  </si>
  <si>
    <t xml:space="preserve">enum  ·  completed</t>
  </si>
  <si>
    <t xml:space="preserve">Accepted, completed, withdrawn or expired</t>
  </si>
  <si>
    <t xml:space="preserve">F51</t>
  </si>
  <si>
    <t xml:space="preserve">datetime  ·  2026-11-12T08:00:00Z</t>
  </si>
  <si>
    <t xml:space="preserve">F52</t>
  </si>
  <si>
    <t xml:space="preserve">Deferred with E11.</t>
  </si>
  <si>
    <t xml:space="preserve">Who searched</t>
  </si>
  <si>
    <t xml:space="preserve">F53</t>
  </si>
  <si>
    <t xml:space="preserve">query_text</t>
  </si>
  <si>
    <t xml:space="preserve">string  ·  cotton kurta</t>
  </si>
  <si>
    <t xml:space="preserve">Present and not truncated.</t>
  </si>
  <si>
    <t xml:space="preserve">What they typed</t>
  </si>
  <si>
    <t xml:space="preserve">F54</t>
  </si>
  <si>
    <t xml:space="preserve">result_count</t>
  </si>
  <si>
    <t xml:space="preserve">integer  ·  23</t>
  </si>
  <si>
    <t xml:space="preserve">Matches the number of results returned.</t>
  </si>
  <si>
    <t xml:space="preserve">Zero-result searches show unmet demand</t>
  </si>
  <si>
    <t xml:space="preserve">F55</t>
  </si>
  <si>
    <t xml:space="preserve">datetime  ·  2026-11-04T09:10:00Z</t>
  </si>
  <si>
    <t xml:space="preserve">F56</t>
  </si>
  <si>
    <t xml:space="preserve">anonymous_id</t>
  </si>
  <si>
    <t xml:space="preserve">string  ·  (closed)</t>
  </si>
  <si>
    <t xml:space="preserve">Closed with E12: login is required, so there is nothing to stitch.</t>
  </si>
  <si>
    <t xml:space="preserve">The pre-login identifier</t>
  </si>
  <si>
    <t xml:space="preserve">F57</t>
  </si>
  <si>
    <t xml:space="preserve">The account it was linked to</t>
  </si>
  <si>
    <t xml:space="preserve">F58</t>
  </si>
  <si>
    <t xml:space="preserve">stitch_ts</t>
  </si>
  <si>
    <t xml:space="preserve">datetime  ·  2026-11-04T09:14:00Z</t>
  </si>
  <si>
    <t xml:space="preserve">When the link was made</t>
  </si>
  <si>
    <t xml:space="preserve">F59</t>
  </si>
  <si>
    <t xml:space="preserve">checkout_id</t>
  </si>
  <si>
    <t xml:space="preserve">string  ·  9b2e4c61-3f8a-4d17-a5b2-0c9d8e7f6a51</t>
  </si>
  <si>
    <t xml:space="preserve">Generated at checkout before the orders are created, and written on every order from that checkout.</t>
  </si>
  <si>
    <t xml:space="preserve">Place a basket of three products: the three orders share one checkout_id and no other order shares it.</t>
  </si>
  <si>
    <t xml:space="preserve">Links orders placed together. Each product becomes its own order, so without it baskets cannot be recovered</t>
  </si>
  <si>
    <t xml:space="preserve">F59, D3</t>
  </si>
  <si>
    <t xml:space="preserve">Reported built. Basket-of-three check still to run; a pass closes it.</t>
  </si>
  <si>
    <t xml:space="preserve">F60</t>
  </si>
  <si>
    <t xml:space="preserve">The person giving the feedback. The event is rejected without it.</t>
  </si>
  <si>
    <t xml:space="preserve">Who gave the feedback</t>
  </si>
  <si>
    <t xml:space="preserve">F60, X-12</t>
  </si>
  <si>
    <t xml:space="preserve">F61</t>
  </si>
  <si>
    <t xml:space="preserve">The post, product or author the feedback is about.</t>
  </si>
  <si>
    <t xml:space="preserve">Resolves to a post, product or user document matching target_type.</t>
  </si>
  <si>
    <t xml:space="preserve">What was rejected</t>
  </si>
  <si>
    <t xml:space="preserve">F61, X-12</t>
  </si>
  <si>
    <t xml:space="preserve">F62</t>
  </si>
  <si>
    <t xml:space="preserve">target_type</t>
  </si>
  <si>
    <t xml:space="preserve">enum  ·  post</t>
  </si>
  <si>
    <t xml:space="preserve">One of post, product, author.</t>
  </si>
  <si>
    <t xml:space="preserve">Values are only post, product or author.</t>
  </si>
  <si>
    <t xml:space="preserve">What kind of target it is</t>
  </si>
  <si>
    <t xml:space="preserve">F62, X-12</t>
  </si>
  <si>
    <t xml:space="preserve">F63</t>
  </si>
  <si>
    <t xml:space="preserve">feedback_type</t>
  </si>
  <si>
    <t xml:space="preserve">enum  ·  not_interested</t>
  </si>
  <si>
    <t xml:space="preserve">One of not_interested, hide, report, mute_author.</t>
  </si>
  <si>
    <t xml:space="preserve">Values are only the four listed.</t>
  </si>
  <si>
    <t xml:space="preserve">What the user chose</t>
  </si>
  <si>
    <t xml:space="preserve">F63, X-12</t>
  </si>
  <si>
    <t xml:space="preserve">F64</t>
  </si>
  <si>
    <t xml:space="preserve">Set when the card was in a recommended list, otherwise null.</t>
  </si>
  <si>
    <t xml:space="preserve">Links the feedback to the list that showed the card</t>
  </si>
  <si>
    <t xml:space="preserve">F64, X-07</t>
  </si>
  <si>
    <t xml:space="preserve">F65</t>
  </si>
  <si>
    <t xml:space="preserve">datetime  ·  2026-11-04T09:16:05.000Z</t>
  </si>
  <si>
    <t xml:space="preserve">UTC with milliseconds at receipt.</t>
  </si>
  <si>
    <t xml:space="preserve">F65, X-12</t>
  </si>
  <si>
    <t xml:space="preserve">F66</t>
  </si>
  <si>
    <t xml:space="preserve">All events</t>
  </si>
  <si>
    <t xml:space="preserve">event_id</t>
  </si>
  <si>
    <t xml:space="preserve">string, UUID v4</t>
  </si>
  <si>
    <t xml:space="preserve">Must</t>
  </si>
  <si>
    <t xml:space="preserve">Both</t>
  </si>
  <si>
    <t xml:space="preserve">Generated where the event is first created. The de-duplication key: a retry sends the same value.</t>
  </si>
  <si>
    <t xml:space="preserve">Every event has one, and no two different events share one.</t>
  </si>
  <si>
    <t xml:space="preserve">Without it a retry is stored twice.</t>
  </si>
  <si>
    <t xml:space="preserve">E-envelope</t>
  </si>
  <si>
    <t xml:space="preserve">Service and SOCO_BE both generate it.</t>
  </si>
  <si>
    <t xml:space="preserve">F67</t>
  </si>
  <si>
    <t xml:space="preserve">event_name</t>
  </si>
  <si>
    <t xml:space="preserve">string, one of the 13 names</t>
  </si>
  <si>
    <t xml:space="preserve">The event's name, exactly as listed on the Events sheet.</t>
  </si>
  <si>
    <t xml:space="preserve">Only listed names appear.</t>
  </si>
  <si>
    <t xml:space="preserve">The engine routes on it.</t>
  </si>
  <si>
    <t xml:space="preserve">F68</t>
  </si>
  <si>
    <t xml:space="preserve">datetime, UTC ISO 8601 with milliseconds</t>
  </si>
  <si>
    <t xml:space="preserve">Stamped where the event is created, or by SOCO_BE when it receives a client event.</t>
  </si>
  <si>
    <t xml:space="preserve">Present on every event; never in the future.</t>
  </si>
  <si>
    <t xml:space="preserve">Every window and rolling measure uses it.</t>
  </si>
  <si>
    <t xml:space="preserve">F69</t>
  </si>
  <si>
    <t xml:space="preserve">served_items</t>
  </si>
  <si>
    <t xml:space="preserve">array of {item_id, position}</t>
  </si>
  <si>
    <t xml:space="preserve">The items actually returned, with their positions, exactly as returned.</t>
  </si>
  <si>
    <t xml:space="preserve">Length equals the number of items in the response.</t>
  </si>
  <si>
    <t xml:space="preserve">Unseen items are derived from it.</t>
  </si>
  <si>
    <t xml:space="preserve">F70</t>
  </si>
  <si>
    <t xml:space="preserve">config_version</t>
  </si>
  <si>
    <t xml:space="preserve">string</t>
  </si>
  <si>
    <t xml:space="preserve">The settings version in force for the request.</t>
  </si>
  <si>
    <t xml:space="preserve">Present on every E1.</t>
  </si>
  <si>
    <t xml:space="preserve">Ties a list back to the settings that produced it.</t>
  </si>
  <si>
    <t xml:space="preserve">F71</t>
  </si>
  <si>
    <t xml:space="preserve">slot_methods</t>
  </si>
  <si>
    <t xml:space="preserve">array of {slot, method, fallback_step}</t>
  </si>
  <si>
    <t xml:space="preserve">For each slot the request touched: the method intended, and the fallback step used if any.</t>
  </si>
  <si>
    <t xml:space="preserve">Present on every E1, one entry per slot touched.</t>
  </si>
  <si>
    <t xml:space="preserve">The only record of which method served a user.</t>
  </si>
  <si>
    <t xml:space="preserve">F72</t>
  </si>
  <si>
    <t xml:space="preserve">scored_not_served</t>
  </si>
  <si>
    <t xml:space="preserve">array of {item_id, score}</t>
  </si>
  <si>
    <t xml:space="preserve">Should</t>
  </si>
  <si>
    <t xml:space="preserve">A sample of scored items that were not returned: 10% at random, plus all returned items, plus everything on exploration lists.</t>
  </si>
  <si>
    <t xml:space="preserve">Present on about 10% of E1 rows, and on every exploration row.</t>
  </si>
  <si>
    <t xml:space="preserve">Needed to measure what the engine passed over.</t>
  </si>
  <si>
    <t xml:space="preserve">F73</t>
  </si>
  <si>
    <t xml:space="preserve">Post view (postevents)</t>
  </si>
  <si>
    <t xml:space="preserve">view_key</t>
  </si>
  <si>
    <t xml:space="preserve">The per-view key the app used to hold in session_id ('fv_' or 'pv_' plus post id plus milliseconds).</t>
  </si>
  <si>
    <t xml:space="preserve">Present on view events; session_id now holds the ses_ session id instead.</t>
  </si>
  <si>
    <t xml:space="preserve">Keeps the old per-view key without overloading session_id.</t>
  </si>
  <si>
    <t xml:space="preserve">X-14</t>
  </si>
  <si>
    <t xml:space="preserve">Changes to the database itself rather than to an event.</t>
  </si>
  <si>
    <t xml:space="preserve">Item</t>
  </si>
  <si>
    <t xml:space="preserve">What is needed</t>
  </si>
  <si>
    <t xml:space="preserve">Consequence if not done</t>
  </si>
  <si>
    <t xml:space="preserve">D1</t>
  </si>
  <si>
    <t xml:space="preserve">Return capture on the order</t>
  </si>
  <si>
    <t xml:space="preserve">Add return_requested (true or false, default false) and return_requested_at (date) to the order, and a 'Request return' control in order history once an order is Delivered. return_type from a closed list: wrong_item, quality, size, not_as_described, changed_mind, damaged. Collection, refund and seller workflow stay offline.</t>
  </si>
  <si>
    <t xml:space="preserve">A returned order looks like a successful one, and every commerce label counts returns as sales.</t>
  </si>
  <si>
    <t xml:space="preserve">D2</t>
  </si>
  <si>
    <t xml:space="preserve">One canonical order status</t>
  </si>
  <si>
    <t xml:space="preserve">order_status is authoritative. The only remaining action is X-13.</t>
  </si>
  <si>
    <t xml:space="preserve">No agreed definition of a successful order.</t>
  </si>
  <si>
    <t xml:space="preserve">D2, X-13</t>
  </si>
  <si>
    <t xml:space="preserve">The remaining action is APP-09.</t>
  </si>
  <si>
    <t xml:space="preserve">D3</t>
  </si>
  <si>
    <t xml:space="preserve">Shared checkout identifier</t>
  </si>
  <si>
    <t xml:space="preserve">checkout_id on every order from one checkout. Verified as F59.</t>
  </si>
  <si>
    <t xml:space="preserve">Items bought together cannot be identified, so the co-purchase method cannot be built.</t>
  </si>
  <si>
    <t xml:space="preserve">D3, F59</t>
  </si>
  <si>
    <t xml:space="preserve">Basket-of-three check still to run.</t>
  </si>
  <si>
    <t xml:space="preserve">D4</t>
  </si>
  <si>
    <t xml:space="preserve">Campaign entity</t>
  </si>
  <si>
    <t xml:space="preserve">Deferred with Engine C.</t>
  </si>
  <si>
    <t xml:space="preserve">Campaigns cannot be measured or attributed.</t>
  </si>
  <si>
    <t xml:space="preserve">D5</t>
  </si>
  <si>
    <t xml:space="preserve">Promoter and influencer as account states</t>
  </si>
  <si>
    <t xml:space="preserve">Not needed under the promoter continuum. The engine keeps the score and its history.</t>
  </si>
  <si>
    <t xml:space="preserve">Not needed: the promoter score is a continuum.</t>
  </si>
  <si>
    <t xml:space="preserve">D6</t>
  </si>
  <si>
    <t xml:space="preserve">Timestamped social interactions</t>
  </si>
  <si>
    <t xml:space="preserve">Closed by E9: each interaction is its own timestamped event. Counters on posts stay as they are.</t>
  </si>
  <si>
    <t xml:space="preserve">D6, E9</t>
  </si>
  <si>
    <t xml:space="preserve">D7</t>
  </si>
  <si>
    <t xml:space="preserve">Stable identifiers</t>
  </si>
  <si>
    <t xml:space="preserve">MongoDB ids are never reused.</t>
  </si>
  <si>
    <t xml:space="preserve">User and item histories fragment silently.</t>
  </si>
  <si>
    <t xml:space="preserve">MongoDB ids are never reused, so nothing to build.</t>
  </si>
  <si>
    <t xml:space="preserve">D8</t>
  </si>
  <si>
    <t xml:space="preserve">Raw event retention</t>
  </si>
  <si>
    <t xml:space="preserve">Aravinth; Allen for ml_events</t>
  </si>
  <si>
    <t xml:space="preserve">Raw events kept at least 12 months (X-08). postevents has no expiry. The 90-day expiry on the recommendation collections, including contentfeedbacks, is raised to 365 days. userevents is marked deprecated in code.</t>
  </si>
  <si>
    <t xml:space="preserve">Training windows are truncated and seasonal patterns cannot be learned.</t>
  </si>
  <si>
    <t xml:space="preserve">D8, X-08</t>
  </si>
  <si>
    <t xml:space="preserve">postevents confirmed with no expiry. The 365-day change and the userevents marking: DB-01.</t>
  </si>
  <si>
    <t xml:space="preserve">D9</t>
  </si>
  <si>
    <t xml:space="preserve">Incognito activity excluded</t>
  </si>
  <si>
    <t xml:space="preserve">Aravinth; Allen for the order filter</t>
  </si>
  <si>
    <t xml:space="preserve">As X-09: no recommendation or engagement events while in incognito, and incognito orders ignored for learning.</t>
  </si>
  <si>
    <t xml:space="preserve">Incognito activity is learned from and shown back to the user: a privacy exposure as well as a modelling defect.</t>
  </si>
  <si>
    <t xml:space="preserve">D9, X-09</t>
  </si>
  <si>
    <t xml:space="preserve">Today incognito covers ordering only; feed events are still sent.</t>
  </si>
  <si>
    <t xml:space="preserve">Rules</t>
  </si>
  <si>
    <t xml:space="preserve">Standing rules that apply across many rows. Rows point here in the Decided in column.</t>
  </si>
  <si>
    <t xml:space="preserve">Ref</t>
  </si>
  <si>
    <t xml:space="preserve">Rule</t>
  </si>
  <si>
    <t xml:space="preserve">What it says</t>
  </si>
  <si>
    <t xml:space="preserve">X-01</t>
  </si>
  <si>
    <t xml:space="preserve">Owner of client-side events</t>
  </si>
  <si>
    <t xml:space="preserve">Aravinth owns E2, E3 and E13, as the contact for the Flutter app.</t>
  </si>
  <si>
    <t xml:space="preserve">X-02</t>
  </si>
  <si>
    <t xml:space="preserve">One event path</t>
  </si>
  <si>
    <t xml:space="preserve">Every event travels Flutter → SOCO_BE → POST /v1/events → ml_events. Flutter never calls the engine directly. SOCO_BE has one client-facing route that receives E2, E3 and E13 and forwards them in batches. recommendationrequests, recommendationimpressions, recommendationclicks, recommendationengagements and contentfeedbacks stop being an engine source once /v1/events is live; until then they keep being written.</t>
  </si>
  <si>
    <t xml:space="preserve">Aravinth (route); Allen (ingest)</t>
  </si>
  <si>
    <t xml:space="preserve">Built by APP-12 (route) and ENG-04 (ingest).</t>
  </si>
  <si>
    <t xml:space="preserve">X-03</t>
  </si>
  <si>
    <t xml:space="preserve">Every feed list emits events</t>
  </si>
  <si>
    <t xml:space="preserve">Every list on the feed surface emits the events, whether the engine or the fallback produced it. Fallback lists carry policy_id 'delivered'. postevents continues to be written for Influencer Analytics (APP-02 and APP-03 change two of its fields).</t>
  </si>
  <si>
    <t xml:space="preserve">Built by APP-15 (fallback lists).</t>
  </si>
  <si>
    <t xml:space="preserve">X-04</t>
  </si>
  <si>
    <t xml:space="preserve">Seen, and a qualified view</t>
  </si>
  <si>
    <t xml:space="preserve">Seen means at least 50% of the item is on screen, for every media type. A qualified view is seen and on screen for at least 3,000 ms. Video play and pause thresholds are separate.</t>
  </si>
  <si>
    <t xml:space="preserve">X-05</t>
  </si>
  <si>
    <t xml:space="preserve">When an impression is sent</t>
  </si>
  <si>
    <t xml:space="preserve">One impression per item per request, sent on leave or app background, with dwell_ms for the first spell. Not resent in the same request. Unseen items are not sent; they come from E1 served_items.</t>
  </si>
  <si>
    <t xml:space="preserve">X-06</t>
  </si>
  <si>
    <t xml:space="preserve">Position numbering</t>
  </si>
  <si>
    <t xml:space="preserve">Position counts from 1, in on-screen order, within each request. Each page is its own request. 0 is rejected.</t>
  </si>
  <si>
    <t xml:space="preserve">X-07</t>
  </si>
  <si>
    <t xml:space="preserve">How request_id travels</t>
  </si>
  <si>
    <t xml:space="preserve">request_id travels with the item: card → product detail → cart line → order. Any action not reached from a recommended list sends null.</t>
  </si>
  <si>
    <t xml:space="preserve">The cart step: DB-05 and APP-05.</t>
  </si>
  <si>
    <t xml:space="preserve">X-08</t>
  </si>
  <si>
    <t xml:space="preserve">Retention of raw events</t>
  </si>
  <si>
    <t xml:space="preserve">Raw events kept at least 12 months. ml_events has no expiry under 365 days. The recommendation collections, including contentfeedbacks, keep 365 days while they remain a source. postevents has no expiry. No expiry is added to an event collection unless Allen and Aravinth agree in writing.</t>
  </si>
  <si>
    <t xml:space="preserve">The change: DB-01.</t>
  </si>
  <si>
    <t xml:space="preserve">X-09</t>
  </si>
  <si>
    <t xml:space="preserve">Incognito</t>
  </si>
  <si>
    <t xml:space="preserve">In incognito the app sends no E2, E3, E4, E9 or E13. Orders with isIncognitoMode emit no E5 or E6. The engine ignores incognito orders for recommendations and profiles; the fraud rules still read them. No new incognito field.</t>
  </si>
  <si>
    <t xml:space="preserve">Built by APP-04 (app) and ENG-10 (engine order filter).</t>
  </si>
  <si>
    <t xml:space="preserve">X-10</t>
  </si>
  <si>
    <t xml:space="preserve">App session identifier</t>
  </si>
  <si>
    <t xml:space="preserve">One app session id, minted by the app's SessionService (ses_…) when the app opens, kept across restarts, and renewed after 30 minutes in background. SOCO_BE passes it on the request; the service writes it on E1 as session_id. user_sessions is a login and device tracker and is not this identifier.</t>
  </si>
  <si>
    <t xml:space="preserve">Built by APP-01. The appsessions collection exists but is not used for this.</t>
  </si>
  <si>
    <t xml:space="preserve">X-11</t>
  </si>
  <si>
    <t xml:space="preserve">Launch surfaces</t>
  </si>
  <si>
    <t xml:space="preserve">Wave 1A surfaces are feed (the home feed) and product (product detail and cart). No opportunity surface. If both cannot launch together, feed goes first.</t>
  </si>
  <si>
    <t xml:space="preserve">Content feedback event</t>
  </si>
  <si>
    <t xml:space="preserve">E13 content_feedback is sent on not interested, hide, report or mute author. Fields F60 to F65.</t>
  </si>
  <si>
    <t xml:space="preserve">X-13</t>
  </si>
  <si>
    <t xml:space="preserve">One order status field</t>
  </si>
  <si>
    <t xml:space="preserve">E6 reads order_status only. When order_status becomes Delivered, seller_delivery_status is written in the same save. Other status fields stay for operations and are not read by the engine.</t>
  </si>
  <si>
    <t xml:space="preserve">Built by APP-09. order_status has no transition guard, so the engine never assumes states arrive in order.</t>
  </si>
  <si>
    <t xml:space="preserve">Attribution fields on postevents</t>
  </si>
  <si>
    <t xml:space="preserve">Each attribution field on postevents is filled only on the event types below. Everywhere else it is null by design.
- product_id: cart add and purchase events only, the product in that action. Null on likes, comments and shares, because the post's products list already holds them.
- order_id: purchase events only, the order created.
- session_id: every event, the app session id from X-10. Null until X-10 is built.
- referral_code: not filled in Wave 1A. The referral feature is not built.
- view_duration_seconds: view events only, the same on-screen time as E2 dwell_ms, in seconds. Required on every view. The engine uses it to decide qualified views (3 seconds or more), and Influencer Analytics reads it too.
- viewer_city, viewer_gender, viewer_district: not filled in Wave 1A. The engine takes demographics from the user profile. Filling them for Influencer Analytics is a separate decision for SOCO, including consent.</t>
  </si>
  <si>
    <t xml:space="preserve">Added 22 Sep 2026. Only product_id, order_id and session_id need code; the rest are blank on purpose. On 11 Sep, order_id was filled on every purchase and product_id on purchases and cart adds, so if they read null now, check for a regression.</t>
  </si>
  <si>
    <t xml:space="preserve">X-15</t>
  </si>
  <si>
    <t xml:space="preserve">Exploration slice</t>
  </si>
  <si>
    <t xml:space="preserve">is_exploration is set by the service and copied by the app, on 5% of feed requests. There is no shadow mode.</t>
  </si>
</sst>
</file>

<file path=xl/styles.xml><?xml version="1.0" encoding="utf-8"?>
<styleSheet xmlns="http://schemas.openxmlformats.org/spreadsheetml/2006/main">
  <numFmts count="3">
    <numFmt numFmtId="164" formatCode="General"/>
    <numFmt numFmtId="165" formatCode="General"/>
    <numFmt numFmtId="166" formatCode="d\ mmm\ yyyy"/>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2"/>
      <charset val="1"/>
    </font>
    <font>
      <sz val="11"/>
      <color theme="1"/>
      <name val="Arial"/>
      <family val="2"/>
      <charset val="1"/>
    </font>
    <font>
      <b val="true"/>
      <sz val="10"/>
      <name val="Arial"/>
      <family val="2"/>
      <charset val="1"/>
    </font>
    <font>
      <sz val="10"/>
      <name val="Arial"/>
      <family val="2"/>
      <charset val="1"/>
    </font>
    <font>
      <b val="true"/>
      <sz val="11"/>
      <name val="Arial"/>
      <family val="2"/>
      <charset val="1"/>
    </font>
    <font>
      <b val="true"/>
      <sz val="10"/>
      <color rgb="FFFFFFFF"/>
      <name val="Arial"/>
      <family val="2"/>
      <charset val="1"/>
    </font>
    <font>
      <sz val="10"/>
      <name val="Arial"/>
      <family val="2"/>
    </font>
  </fonts>
  <fills count="8">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EDEDED"/>
      </patternFill>
    </fill>
    <fill>
      <patternFill patternType="solid">
        <fgColor rgb="FFDDEBF7"/>
        <bgColor rgb="FFEDEDED"/>
      </patternFill>
    </fill>
    <fill>
      <patternFill patternType="solid">
        <fgColor rgb="FFEDEDED"/>
        <bgColor rgb="FFE2EFDA"/>
      </patternFill>
    </fill>
    <fill>
      <patternFill patternType="solid">
        <fgColor rgb="FF44546A"/>
        <bgColor rgb="FF1F386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44546A"/>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FFFFF"/>
          <bgColor rgb="FF000000"/>
        </patternFill>
      </fill>
    </dxf>
    <dxf>
      <fill>
        <patternFill patternType="solid">
          <bgColor rgb="FF000000"/>
        </patternFill>
      </fill>
    </dxf>
    <dxf>
      <fill>
        <patternFill>
          <bgColor rgb="FFE2EFDA"/>
        </patternFill>
      </fill>
    </dxf>
    <dxf>
      <fill>
        <patternFill>
          <bgColor rgb="FFFFF2CC"/>
        </patternFill>
      </fill>
    </dxf>
    <dxf>
      <fill>
        <patternFill>
          <bgColor rgb="FFDDEBF7"/>
        </patternFill>
      </fill>
    </dxf>
    <dxf>
      <fill>
        <patternFill>
          <bgColor rgb="FFEDEDED"/>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7" activeCellId="0" sqref="I7"/>
    </sheetView>
  </sheetViews>
  <sheetFormatPr defaultColWidth="8.71484375" defaultRowHeight="15" zeroHeight="false" outlineLevelRow="0" outlineLevelCol="0"/>
  <cols>
    <col collapsed="false" customWidth="true" hidden="false" outlineLevel="0" max="1" min="1" style="1" width="28"/>
    <col collapsed="false" customWidth="true" hidden="false" outlineLevel="0" max="3" min="2" style="1" width="16"/>
    <col collapsed="false" customWidth="true" hidden="false" outlineLevel="0" max="4" min="4" style="1" width="20"/>
    <col collapsed="false" customWidth="true" hidden="false" outlineLevel="0" max="9" min="9" style="1" width="41.86"/>
  </cols>
  <sheetData>
    <row r="1" customFormat="false" ht="25.5" hidden="false" customHeight="true" outlineLevel="0" collapsed="false">
      <c r="A1" s="2" t="s">
        <v>0</v>
      </c>
      <c r="B1" s="2"/>
      <c r="C1" s="2"/>
      <c r="D1" s="2"/>
    </row>
    <row r="2" customFormat="false" ht="15" hidden="false" customHeight="true" outlineLevel="0" collapsed="false">
      <c r="A2" s="3"/>
      <c r="B2" s="3"/>
      <c r="C2" s="3"/>
      <c r="D2" s="3"/>
    </row>
    <row r="3" customFormat="false" ht="60" hidden="false" customHeight="true" outlineLevel="0" collapsed="false">
      <c r="A3" s="4" t="s">
        <v>1</v>
      </c>
      <c r="B3" s="5" t="s">
        <v>2</v>
      </c>
      <c r="C3" s="5"/>
      <c r="D3" s="5"/>
      <c r="H3" s="1" t="s">
        <v>3</v>
      </c>
      <c r="I3" s="6" t="s">
        <v>4</v>
      </c>
    </row>
    <row r="4" customFormat="false" ht="57.75" hidden="false" customHeight="true" outlineLevel="0" collapsed="false">
      <c r="A4" s="4" t="s">
        <v>5</v>
      </c>
      <c r="B4" s="5" t="s">
        <v>6</v>
      </c>
      <c r="C4" s="5"/>
      <c r="D4" s="5"/>
      <c r="H4" s="1" t="s">
        <v>7</v>
      </c>
      <c r="I4" s="6" t="s">
        <v>8</v>
      </c>
    </row>
    <row r="5" customFormat="false" ht="45" hidden="false" customHeight="true" outlineLevel="0" collapsed="false">
      <c r="A5" s="4" t="s">
        <v>9</v>
      </c>
      <c r="B5" s="5" t="s">
        <v>10</v>
      </c>
      <c r="C5" s="5"/>
      <c r="D5" s="5"/>
      <c r="I5" s="6" t="s">
        <v>11</v>
      </c>
    </row>
    <row r="6" customFormat="false" ht="45" hidden="false" customHeight="true" outlineLevel="0" collapsed="false">
      <c r="A6" s="7" t="s">
        <v>12</v>
      </c>
      <c r="B6" s="5" t="s">
        <v>13</v>
      </c>
      <c r="C6" s="5"/>
      <c r="D6" s="5"/>
      <c r="I6" s="6" t="s">
        <v>14</v>
      </c>
    </row>
    <row r="7" customFormat="false" ht="33" hidden="false" customHeight="true" outlineLevel="0" collapsed="false">
      <c r="A7" s="8" t="s">
        <v>15</v>
      </c>
      <c r="B7" s="5" t="s">
        <v>16</v>
      </c>
      <c r="C7" s="5"/>
      <c r="D7" s="5"/>
      <c r="H7" s="1" t="s">
        <v>3</v>
      </c>
      <c r="I7" s="6" t="s">
        <v>17</v>
      </c>
    </row>
    <row r="8" customFormat="false" ht="30" hidden="false" customHeight="true" outlineLevel="0" collapsed="false">
      <c r="A8" s="9" t="s">
        <v>18</v>
      </c>
      <c r="B8" s="5" t="s">
        <v>19</v>
      </c>
      <c r="C8" s="5"/>
      <c r="D8" s="5"/>
    </row>
    <row r="9" customFormat="false" ht="15" hidden="false" customHeight="true" outlineLevel="0" collapsed="false">
      <c r="A9" s="10" t="s">
        <v>20</v>
      </c>
      <c r="B9" s="5" t="s">
        <v>21</v>
      </c>
      <c r="C9" s="5"/>
      <c r="D9" s="5"/>
    </row>
    <row r="10" customFormat="false" ht="15" hidden="false" customHeight="true" outlineLevel="0" collapsed="false">
      <c r="A10" s="10" t="s">
        <v>22</v>
      </c>
      <c r="B10" s="5" t="s">
        <v>23</v>
      </c>
      <c r="C10" s="5"/>
      <c r="D10" s="5"/>
    </row>
    <row r="11" customFormat="false" ht="60" hidden="false" customHeight="true" outlineLevel="0" collapsed="false">
      <c r="A11" s="4" t="s">
        <v>24</v>
      </c>
      <c r="B11" s="5" t="s">
        <v>25</v>
      </c>
      <c r="C11" s="5"/>
      <c r="D11" s="5"/>
    </row>
    <row r="12" customFormat="false" ht="45" hidden="false" customHeight="true" outlineLevel="0" collapsed="false">
      <c r="A12" s="4" t="s">
        <v>26</v>
      </c>
      <c r="B12" s="5" t="s">
        <v>27</v>
      </c>
      <c r="C12" s="5"/>
      <c r="D12" s="5"/>
    </row>
    <row r="13" customFormat="false" ht="15" hidden="false" customHeight="true" outlineLevel="0" collapsed="false">
      <c r="A13" s="3"/>
      <c r="B13" s="3"/>
      <c r="C13" s="3"/>
      <c r="D13" s="3"/>
    </row>
    <row r="14" customFormat="false" ht="15" hidden="false" customHeight="true" outlineLevel="0" collapsed="false">
      <c r="A14" s="11" t="s">
        <v>28</v>
      </c>
      <c r="B14" s="3"/>
      <c r="C14" s="3"/>
      <c r="D14" s="3"/>
    </row>
    <row r="15" customFormat="false" ht="15" hidden="false" customHeight="true" outlineLevel="0" collapsed="false">
      <c r="A15" s="12" t="s">
        <v>29</v>
      </c>
      <c r="B15" s="12" t="s">
        <v>30</v>
      </c>
      <c r="C15" s="12" t="s">
        <v>31</v>
      </c>
      <c r="D15" s="12" t="s">
        <v>32</v>
      </c>
    </row>
    <row r="16" customFormat="false" ht="15" hidden="false" customHeight="true" outlineLevel="0" collapsed="false">
      <c r="A16" s="13" t="s">
        <v>12</v>
      </c>
      <c r="B16" s="14" t="n">
        <f aca="false">COUNTIF('1 Events'!F5:F17,"Built")</f>
        <v>4</v>
      </c>
      <c r="C16" s="14" t="n">
        <f aca="false">COUNTIF('2 Fields'!H5:H69,"Built")</f>
        <v>28</v>
      </c>
      <c r="D16" s="14" t="n">
        <f aca="false">COUNTIF('3 Data model changes'!E5:E13,"Built")</f>
        <v>0</v>
      </c>
    </row>
    <row r="17" customFormat="false" ht="15" hidden="false" customHeight="true" outlineLevel="0" collapsed="false">
      <c r="A17" s="15" t="s">
        <v>15</v>
      </c>
      <c r="B17" s="14" t="n">
        <f aca="false">COUNTIF('1 Events'!F5:F17,"Verify")</f>
        <v>0</v>
      </c>
      <c r="C17" s="14" t="n">
        <f aca="false">COUNTIF('2 Fields'!H5:H69,"Verify")</f>
        <v>1</v>
      </c>
      <c r="D17" s="14" t="n">
        <f aca="false">COUNTIF('3 Data model changes'!E5:E13,"Verify")</f>
        <v>1</v>
      </c>
    </row>
    <row r="18" customFormat="false" ht="15" hidden="false" customHeight="true" outlineLevel="0" collapsed="false">
      <c r="A18" s="16" t="s">
        <v>18</v>
      </c>
      <c r="B18" s="14" t="n">
        <f aca="false">COUNTIF('1 Events'!F5:F17,"To build")</f>
        <v>4</v>
      </c>
      <c r="C18" s="14" t="n">
        <f aca="false">COUNTIF('2 Fields'!H5:H69,"To build")</f>
        <v>10</v>
      </c>
      <c r="D18" s="14" t="n">
        <f aca="false">COUNTIF('3 Data model changes'!E5:E13,"To build")</f>
        <v>3</v>
      </c>
    </row>
    <row r="19" customFormat="false" ht="15" hidden="false" customHeight="true" outlineLevel="0" collapsed="false">
      <c r="A19" s="17" t="s">
        <v>20</v>
      </c>
      <c r="B19" s="14" t="n">
        <f aca="false">COUNTIF('1 Events'!F5:F17,"Deferred")</f>
        <v>4</v>
      </c>
      <c r="C19" s="14" t="n">
        <f aca="false">COUNTIF('2 Fields'!H5:H69,"Deferred")</f>
        <v>18</v>
      </c>
      <c r="D19" s="14" t="n">
        <f aca="false">COUNTIF('3 Data model changes'!E5:E13,"Deferred")</f>
        <v>1</v>
      </c>
    </row>
    <row r="20" customFormat="false" ht="15" hidden="false" customHeight="true" outlineLevel="0" collapsed="false">
      <c r="A20" s="17" t="s">
        <v>22</v>
      </c>
      <c r="B20" s="14" t="n">
        <f aca="false">COUNTIF('1 Events'!F5:F17,"Closed")</f>
        <v>1</v>
      </c>
      <c r="C20" s="14" t="n">
        <f aca="false">COUNTIF('2 Fields'!H5:H69,"Closed")</f>
        <v>8</v>
      </c>
      <c r="D20" s="14" t="n">
        <f aca="false">COUNTIF('3 Data model changes'!E5:E13,"Closed")</f>
        <v>4</v>
      </c>
    </row>
    <row r="21" customFormat="false" ht="15" hidden="false" customHeight="true" outlineLevel="0" collapsed="false">
      <c r="A21" s="18" t="s">
        <v>33</v>
      </c>
      <c r="B21" s="14" t="n">
        <f aca="false">COUNTIFS('1 Events'!F5:F17,"To build",'1 Events'!G5:G17,"")</f>
        <v>4</v>
      </c>
      <c r="C21" s="14" t="n">
        <f aca="false">COUNTIFS('2 Fields'!H5:H69,"To build",'2 Fields'!I5:I69,"")</f>
        <v>10</v>
      </c>
      <c r="D21" s="14" t="n">
        <f aca="false">COUNTIFS('3 Data model changes'!E5:E13,"To build",'3 Data model changes'!F5:F13,"")</f>
        <v>3</v>
      </c>
    </row>
    <row r="22" customFormat="false" ht="15" hidden="false" customHeight="true" outlineLevel="0" collapsed="false">
      <c r="A22" s="18" t="s">
        <v>34</v>
      </c>
      <c r="B22" s="14" t="n">
        <f aca="false">COUNTA('1 Events'!F5:F17)</f>
        <v>13</v>
      </c>
      <c r="C22" s="14" t="n">
        <f aca="false">COUNTA('2 Fields'!H5:H69)</f>
        <v>65</v>
      </c>
      <c r="D22" s="14" t="n">
        <f aca="false">COUNTA('3 Data model changes'!E5:E13)</f>
        <v>9</v>
      </c>
    </row>
  </sheetData>
  <mergeCells count="11">
    <mergeCell ref="A1:D1"/>
    <mergeCell ref="B3:D3"/>
    <mergeCell ref="B4:D4"/>
    <mergeCell ref="B5:D5"/>
    <mergeCell ref="B6:D6"/>
    <mergeCell ref="B7:D7"/>
    <mergeCell ref="B8:D8"/>
    <mergeCell ref="B9:D9"/>
    <mergeCell ref="B10:D10"/>
    <mergeCell ref="B11:D11"/>
    <mergeCell ref="B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24"/>
    <col collapsed="false" customWidth="true" hidden="false" outlineLevel="0" max="4" min="4" style="1" width="10"/>
    <col collapsed="false" customWidth="true" hidden="false" outlineLevel="0" max="5" min="5" style="1" width="16"/>
    <col collapsed="false" customWidth="true" hidden="false" outlineLevel="0" max="6" min="6" style="1" width="10"/>
    <col collapsed="false" customWidth="true" hidden="false" outlineLevel="0" max="7" min="7" style="1" width="12"/>
    <col collapsed="false" customWidth="true" hidden="false" outlineLevel="0" max="8" min="8" style="1" width="55"/>
    <col collapsed="false" customWidth="true" hidden="false" outlineLevel="0" max="9" min="9" style="1" width="40"/>
    <col collapsed="false" customWidth="true" hidden="false" outlineLevel="0" max="10" min="10" style="1" width="34"/>
    <col collapsed="false" customWidth="true" hidden="false" outlineLevel="0" max="11" min="11" style="1" width="14"/>
    <col collapsed="false" customWidth="true" hidden="false" outlineLevel="0" max="12" min="12" style="1" width="42"/>
  </cols>
  <sheetData>
    <row r="1" customFormat="false" ht="25.5" hidden="false" customHeight="true" outlineLevel="0" collapsed="false">
      <c r="A1" s="2" t="s">
        <v>30</v>
      </c>
      <c r="B1" s="2"/>
      <c r="C1" s="2"/>
      <c r="D1" s="2"/>
      <c r="E1" s="2"/>
      <c r="F1" s="2"/>
      <c r="G1" s="2"/>
      <c r="H1" s="2"/>
      <c r="I1" s="2"/>
      <c r="J1" s="2"/>
      <c r="K1" s="2"/>
      <c r="L1" s="2"/>
    </row>
    <row r="2" customFormat="false" ht="30" hidden="false" customHeight="true" outlineLevel="0" collapsed="false">
      <c r="A2" s="5" t="s">
        <v>35</v>
      </c>
      <c r="B2" s="5"/>
      <c r="C2" s="5"/>
      <c r="D2" s="5"/>
      <c r="E2" s="5"/>
      <c r="F2" s="5"/>
      <c r="G2" s="5"/>
      <c r="H2" s="5"/>
      <c r="I2" s="5"/>
      <c r="J2" s="5"/>
      <c r="K2" s="5"/>
      <c r="L2" s="5"/>
    </row>
    <row r="4" customFormat="false" ht="30" hidden="false" customHeight="true" outlineLevel="0" collapsed="false">
      <c r="A4" s="19" t="s">
        <v>36</v>
      </c>
      <c r="B4" s="19" t="s">
        <v>37</v>
      </c>
      <c r="C4" s="19" t="s">
        <v>38</v>
      </c>
      <c r="D4" s="19" t="s">
        <v>39</v>
      </c>
      <c r="E4" s="19" t="s">
        <v>40</v>
      </c>
      <c r="F4" s="19" t="s">
        <v>29</v>
      </c>
      <c r="G4" s="19" t="s">
        <v>41</v>
      </c>
      <c r="H4" s="19" t="s">
        <v>42</v>
      </c>
      <c r="I4" s="19" t="s">
        <v>43</v>
      </c>
      <c r="J4" s="19" t="s">
        <v>44</v>
      </c>
      <c r="K4" s="19" t="s">
        <v>45</v>
      </c>
      <c r="L4" s="19" t="s">
        <v>46</v>
      </c>
    </row>
    <row r="5" customFormat="false" ht="63.75" hidden="false" customHeight="true" outlineLevel="0" collapsed="false">
      <c r="A5" s="20" t="s">
        <v>47</v>
      </c>
      <c r="B5" s="21" t="s">
        <v>48</v>
      </c>
      <c r="C5" s="21" t="s">
        <v>49</v>
      </c>
      <c r="D5" s="21" t="s">
        <v>50</v>
      </c>
      <c r="E5" s="21" t="s">
        <v>51</v>
      </c>
      <c r="F5" s="21" t="s">
        <v>18</v>
      </c>
      <c r="G5" s="21"/>
      <c r="H5" s="21" t="s">
        <v>52</v>
      </c>
      <c r="I5" s="21" t="s">
        <v>53</v>
      </c>
      <c r="J5" s="21" t="s">
        <v>54</v>
      </c>
      <c r="K5" s="21" t="s">
        <v>55</v>
      </c>
      <c r="L5" s="21" t="s">
        <v>56</v>
      </c>
    </row>
    <row r="6" customFormat="false" ht="63.75" hidden="false" customHeight="true" outlineLevel="0" collapsed="false">
      <c r="A6" s="20" t="s">
        <v>57</v>
      </c>
      <c r="B6" s="21" t="s">
        <v>58</v>
      </c>
      <c r="C6" s="21" t="s">
        <v>59</v>
      </c>
      <c r="D6" s="21" t="s">
        <v>50</v>
      </c>
      <c r="E6" s="21" t="s">
        <v>3</v>
      </c>
      <c r="F6" s="21" t="s">
        <v>12</v>
      </c>
      <c r="G6" s="22" t="n">
        <v>46286</v>
      </c>
      <c r="H6" s="21" t="s">
        <v>60</v>
      </c>
      <c r="I6" s="21" t="s">
        <v>61</v>
      </c>
      <c r="J6" s="21" t="s">
        <v>62</v>
      </c>
      <c r="K6" s="21" t="s">
        <v>63</v>
      </c>
      <c r="L6" s="21" t="s">
        <v>64</v>
      </c>
    </row>
    <row r="7" customFormat="false" ht="38.25" hidden="false" customHeight="true" outlineLevel="0" collapsed="false">
      <c r="A7" s="20" t="s">
        <v>65</v>
      </c>
      <c r="B7" s="21" t="s">
        <v>66</v>
      </c>
      <c r="C7" s="21" t="s">
        <v>67</v>
      </c>
      <c r="D7" s="21" t="s">
        <v>50</v>
      </c>
      <c r="E7" s="21" t="s">
        <v>3</v>
      </c>
      <c r="F7" s="21" t="s">
        <v>12</v>
      </c>
      <c r="G7" s="22" t="n">
        <v>46286</v>
      </c>
      <c r="H7" s="21" t="s">
        <v>68</v>
      </c>
      <c r="I7" s="21" t="s">
        <v>69</v>
      </c>
      <c r="J7" s="21" t="s">
        <v>70</v>
      </c>
      <c r="K7" s="21" t="s">
        <v>65</v>
      </c>
      <c r="L7" s="21" t="s">
        <v>71</v>
      </c>
    </row>
    <row r="8" customFormat="false" ht="38.25" hidden="false" customHeight="true" outlineLevel="0" collapsed="false">
      <c r="A8" s="20" t="s">
        <v>72</v>
      </c>
      <c r="B8" s="21" t="s">
        <v>73</v>
      </c>
      <c r="C8" s="21" t="s">
        <v>74</v>
      </c>
      <c r="D8" s="21" t="s">
        <v>75</v>
      </c>
      <c r="E8" s="21" t="s">
        <v>3</v>
      </c>
      <c r="F8" s="21" t="s">
        <v>18</v>
      </c>
      <c r="G8" s="22"/>
      <c r="H8" s="21" t="s">
        <v>76</v>
      </c>
      <c r="I8" s="21" t="s">
        <v>77</v>
      </c>
      <c r="J8" s="21" t="s">
        <v>78</v>
      </c>
      <c r="K8" s="21" t="s">
        <v>79</v>
      </c>
      <c r="L8" s="21" t="s">
        <v>80</v>
      </c>
    </row>
    <row r="9" customFormat="false" ht="38.25" hidden="false" customHeight="true" outlineLevel="0" collapsed="false">
      <c r="A9" s="20" t="s">
        <v>81</v>
      </c>
      <c r="B9" s="21" t="s">
        <v>82</v>
      </c>
      <c r="C9" s="21" t="s">
        <v>83</v>
      </c>
      <c r="D9" s="21" t="s">
        <v>50</v>
      </c>
      <c r="E9" s="21" t="s">
        <v>3</v>
      </c>
      <c r="F9" s="21" t="s">
        <v>18</v>
      </c>
      <c r="G9" s="21"/>
      <c r="H9" s="21" t="s">
        <v>84</v>
      </c>
      <c r="I9" s="21" t="s">
        <v>85</v>
      </c>
      <c r="J9" s="21" t="s">
        <v>86</v>
      </c>
      <c r="K9" s="21" t="s">
        <v>81</v>
      </c>
      <c r="L9" s="21" t="s">
        <v>87</v>
      </c>
    </row>
    <row r="10" customFormat="false" ht="76.5" hidden="false" customHeight="true" outlineLevel="0" collapsed="false">
      <c r="A10" s="20" t="s">
        <v>88</v>
      </c>
      <c r="B10" s="21" t="s">
        <v>89</v>
      </c>
      <c r="C10" s="21" t="s">
        <v>90</v>
      </c>
      <c r="D10" s="21" t="s">
        <v>50</v>
      </c>
      <c r="E10" s="21" t="s">
        <v>3</v>
      </c>
      <c r="F10" s="21" t="s">
        <v>18</v>
      </c>
      <c r="G10" s="22"/>
      <c r="H10" s="21" t="s">
        <v>91</v>
      </c>
      <c r="I10" s="21" t="s">
        <v>92</v>
      </c>
      <c r="J10" s="21" t="s">
        <v>93</v>
      </c>
      <c r="K10" s="21" t="s">
        <v>94</v>
      </c>
      <c r="L10" s="21" t="s">
        <v>95</v>
      </c>
    </row>
    <row r="11" customFormat="false" ht="63.75" hidden="false" customHeight="true" outlineLevel="0" collapsed="false">
      <c r="A11" s="20" t="s">
        <v>96</v>
      </c>
      <c r="B11" s="21" t="s">
        <v>97</v>
      </c>
      <c r="C11" s="21" t="s">
        <v>98</v>
      </c>
      <c r="D11" s="21" t="s">
        <v>75</v>
      </c>
      <c r="E11" s="21" t="s">
        <v>3</v>
      </c>
      <c r="F11" s="21" t="s">
        <v>20</v>
      </c>
      <c r="G11" s="21"/>
      <c r="H11" s="21" t="s">
        <v>99</v>
      </c>
      <c r="I11" s="21" t="s">
        <v>100</v>
      </c>
      <c r="J11" s="21" t="s">
        <v>101</v>
      </c>
      <c r="K11" s="21" t="s">
        <v>96</v>
      </c>
      <c r="L11" s="21" t="s">
        <v>102</v>
      </c>
    </row>
    <row r="12" customFormat="false" ht="38.25" hidden="false" customHeight="true" outlineLevel="0" collapsed="false">
      <c r="A12" s="20" t="s">
        <v>103</v>
      </c>
      <c r="B12" s="21" t="s">
        <v>104</v>
      </c>
      <c r="C12" s="21" t="s">
        <v>105</v>
      </c>
      <c r="D12" s="21" t="s">
        <v>50</v>
      </c>
      <c r="E12" s="21" t="s">
        <v>3</v>
      </c>
      <c r="F12" s="21" t="s">
        <v>20</v>
      </c>
      <c r="G12" s="21"/>
      <c r="H12" s="21" t="s">
        <v>106</v>
      </c>
      <c r="I12" s="21" t="s">
        <v>100</v>
      </c>
      <c r="J12" s="21" t="s">
        <v>107</v>
      </c>
      <c r="K12" s="21" t="s">
        <v>103</v>
      </c>
      <c r="L12" s="21" t="s">
        <v>108</v>
      </c>
    </row>
    <row r="13" customFormat="false" ht="38.25" hidden="false" customHeight="true" outlineLevel="0" collapsed="false">
      <c r="A13" s="20" t="s">
        <v>109</v>
      </c>
      <c r="B13" s="21" t="s">
        <v>110</v>
      </c>
      <c r="C13" s="21" t="s">
        <v>111</v>
      </c>
      <c r="D13" s="21" t="s">
        <v>75</v>
      </c>
      <c r="E13" s="21" t="s">
        <v>3</v>
      </c>
      <c r="F13" s="21" t="s">
        <v>12</v>
      </c>
      <c r="G13" s="22" t="n">
        <v>46286</v>
      </c>
      <c r="H13" s="21" t="s">
        <v>112</v>
      </c>
      <c r="I13" s="21" t="s">
        <v>113</v>
      </c>
      <c r="J13" s="21" t="s">
        <v>114</v>
      </c>
      <c r="K13" s="21" t="s">
        <v>109</v>
      </c>
      <c r="L13" s="21"/>
    </row>
    <row r="14" customFormat="false" ht="51" hidden="false" customHeight="true" outlineLevel="0" collapsed="false">
      <c r="A14" s="20" t="s">
        <v>115</v>
      </c>
      <c r="B14" s="21" t="s">
        <v>116</v>
      </c>
      <c r="C14" s="21" t="s">
        <v>117</v>
      </c>
      <c r="D14" s="21" t="s">
        <v>50</v>
      </c>
      <c r="E14" s="21" t="s">
        <v>3</v>
      </c>
      <c r="F14" s="21" t="s">
        <v>20</v>
      </c>
      <c r="G14" s="21"/>
      <c r="H14" s="21" t="s">
        <v>118</v>
      </c>
      <c r="I14" s="21" t="s">
        <v>100</v>
      </c>
      <c r="J14" s="21" t="s">
        <v>119</v>
      </c>
      <c r="K14" s="21" t="s">
        <v>115</v>
      </c>
      <c r="L14" s="21" t="s">
        <v>120</v>
      </c>
    </row>
    <row r="15" customFormat="false" ht="38.25" hidden="false" customHeight="true" outlineLevel="0" collapsed="false">
      <c r="A15" s="20" t="s">
        <v>121</v>
      </c>
      <c r="B15" s="21" t="s">
        <v>122</v>
      </c>
      <c r="C15" s="21" t="s">
        <v>123</v>
      </c>
      <c r="D15" s="21" t="s">
        <v>124</v>
      </c>
      <c r="E15" s="21" t="s">
        <v>3</v>
      </c>
      <c r="F15" s="21" t="s">
        <v>20</v>
      </c>
      <c r="G15" s="21"/>
      <c r="H15" s="21" t="s">
        <v>125</v>
      </c>
      <c r="I15" s="21" t="s">
        <v>100</v>
      </c>
      <c r="J15" s="21" t="s">
        <v>126</v>
      </c>
      <c r="K15" s="21" t="s">
        <v>121</v>
      </c>
      <c r="L15" s="21" t="s">
        <v>127</v>
      </c>
    </row>
    <row r="16" customFormat="false" ht="38.25" hidden="false" customHeight="true" outlineLevel="0" collapsed="false">
      <c r="A16" s="20" t="s">
        <v>128</v>
      </c>
      <c r="B16" s="21" t="s">
        <v>129</v>
      </c>
      <c r="C16" s="21" t="s">
        <v>130</v>
      </c>
      <c r="D16" s="21" t="s">
        <v>75</v>
      </c>
      <c r="E16" s="21" t="s">
        <v>3</v>
      </c>
      <c r="F16" s="21" t="s">
        <v>22</v>
      </c>
      <c r="G16" s="21"/>
      <c r="H16" s="21" t="s">
        <v>131</v>
      </c>
      <c r="I16" s="21" t="s">
        <v>100</v>
      </c>
      <c r="J16" s="21" t="s">
        <v>132</v>
      </c>
      <c r="K16" s="21" t="s">
        <v>128</v>
      </c>
      <c r="L16" s="21"/>
    </row>
    <row r="17" customFormat="false" ht="38.25" hidden="false" customHeight="true" outlineLevel="0" collapsed="false">
      <c r="A17" s="20" t="s">
        <v>133</v>
      </c>
      <c r="B17" s="21" t="s">
        <v>134</v>
      </c>
      <c r="C17" s="21" t="s">
        <v>135</v>
      </c>
      <c r="D17" s="21"/>
      <c r="E17" s="21" t="s">
        <v>3</v>
      </c>
      <c r="F17" s="21" t="s">
        <v>12</v>
      </c>
      <c r="G17" s="22" t="n">
        <v>46286</v>
      </c>
      <c r="H17" s="21" t="s">
        <v>136</v>
      </c>
      <c r="I17" s="21" t="s">
        <v>137</v>
      </c>
      <c r="J17" s="21" t="s">
        <v>138</v>
      </c>
      <c r="K17" s="21" t="s">
        <v>139</v>
      </c>
      <c r="L17" s="21" t="s">
        <v>140</v>
      </c>
    </row>
  </sheetData>
  <autoFilter ref="A4:L17"/>
  <mergeCells count="2">
    <mergeCell ref="A1:L1"/>
    <mergeCell ref="A2:L2"/>
  </mergeCells>
  <conditionalFormatting sqref="A5:L17">
    <cfRule type="expression" priority="2" aboveAverage="0" equalAverage="0" bottom="0" percent="0" rank="0" text="" dxfId="6">
      <formula>$F5="Built"</formula>
    </cfRule>
    <cfRule type="expression" priority="3" aboveAverage="0" equalAverage="0" bottom="0" percent="0" rank="0" text="" dxfId="7">
      <formula>$F5="Verify"</formula>
    </cfRule>
    <cfRule type="expression" priority="4" aboveAverage="0" equalAverage="0" bottom="0" percent="0" rank="0" text="" dxfId="8">
      <formula>$F5="To build"</formula>
    </cfRule>
    <cfRule type="expression" priority="5" aboveAverage="0" equalAverage="0" bottom="0" percent="0" rank="0" text="" dxfId="9">
      <formula>$F5="Deferred"</formula>
    </cfRule>
    <cfRule type="expression" priority="6" aboveAverage="0" equalAverage="0" bottom="0" percent="0" rank="0" text="" dxfId="9">
      <formula>$F5="Closed"</formula>
    </cfRule>
  </conditionalFormatting>
  <dataValidations count="1">
    <dataValidation allowBlank="false" errorStyle="stop" operator="between" showDropDown="false" showErrorMessage="false" showInputMessage="false" sqref="F5:F17" type="list">
      <formula1>"Built,Verify,To build,Deferred,Closed"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16"/>
    <col collapsed="false" customWidth="true" hidden="false" outlineLevel="0" max="4" min="4" style="1" width="24"/>
    <col collapsed="false" customWidth="true" hidden="false" outlineLevel="0" max="5" min="5" style="1" width="10"/>
    <col collapsed="false" customWidth="true" hidden="false" outlineLevel="0" max="6" min="6" style="1" width="7"/>
    <col collapsed="false" customWidth="true" hidden="false" outlineLevel="0" max="7" min="7" style="1" width="14"/>
    <col collapsed="false" customWidth="true" hidden="false" outlineLevel="0" max="8" min="8" style="1" width="10"/>
    <col collapsed="false" customWidth="true" hidden="false" outlineLevel="0" max="9" min="9" style="1" width="12"/>
    <col collapsed="false" customWidth="true" hidden="false" outlineLevel="0" max="10" min="10" style="1" width="52"/>
    <col collapsed="false" customWidth="true" hidden="false" outlineLevel="0" max="11" min="11" style="1" width="40"/>
    <col collapsed="false" customWidth="true" hidden="false" outlineLevel="0" max="12" min="12" style="1" width="34"/>
    <col collapsed="false" customWidth="true" hidden="false" outlineLevel="0" max="13" min="13" style="1" width="14"/>
    <col collapsed="false" customWidth="true" hidden="false" outlineLevel="0" max="14" min="14" style="1" width="40"/>
  </cols>
  <sheetData>
    <row r="1" customFormat="false" ht="25.5" hidden="false" customHeight="true" outlineLevel="0" collapsed="false">
      <c r="A1" s="2" t="s">
        <v>31</v>
      </c>
      <c r="B1" s="2"/>
      <c r="C1" s="2"/>
      <c r="D1" s="2"/>
      <c r="E1" s="2"/>
      <c r="F1" s="2"/>
      <c r="G1" s="2"/>
      <c r="H1" s="2"/>
      <c r="I1" s="2"/>
      <c r="J1" s="2"/>
      <c r="K1" s="2"/>
      <c r="L1" s="2"/>
      <c r="M1" s="2"/>
      <c r="N1" s="2"/>
    </row>
    <row r="2" customFormat="false" ht="30" hidden="false" customHeight="true" outlineLevel="0" collapsed="false">
      <c r="A2" s="5" t="s">
        <v>141</v>
      </c>
      <c r="B2" s="5"/>
      <c r="C2" s="5"/>
      <c r="D2" s="5"/>
      <c r="E2" s="5"/>
      <c r="F2" s="5"/>
      <c r="G2" s="5"/>
      <c r="H2" s="5"/>
      <c r="I2" s="5"/>
      <c r="J2" s="5"/>
      <c r="K2" s="5"/>
      <c r="L2" s="5"/>
      <c r="M2" s="5"/>
      <c r="N2" s="5"/>
    </row>
    <row r="4" customFormat="false" ht="30" hidden="false" customHeight="true" outlineLevel="0" collapsed="false">
      <c r="A4" s="19" t="s">
        <v>36</v>
      </c>
      <c r="B4" s="19" t="s">
        <v>142</v>
      </c>
      <c r="C4" s="19" t="s">
        <v>143</v>
      </c>
      <c r="D4" s="19" t="s">
        <v>144</v>
      </c>
      <c r="E4" s="19" t="s">
        <v>39</v>
      </c>
      <c r="F4" s="19" t="s">
        <v>145</v>
      </c>
      <c r="G4" s="19" t="s">
        <v>40</v>
      </c>
      <c r="H4" s="19" t="s">
        <v>29</v>
      </c>
      <c r="I4" s="19" t="s">
        <v>41</v>
      </c>
      <c r="J4" s="19" t="s">
        <v>146</v>
      </c>
      <c r="K4" s="19" t="s">
        <v>43</v>
      </c>
      <c r="L4" s="19" t="s">
        <v>147</v>
      </c>
      <c r="M4" s="19" t="s">
        <v>45</v>
      </c>
      <c r="N4" s="19" t="s">
        <v>46</v>
      </c>
    </row>
    <row r="5" customFormat="false" ht="38.25" hidden="false" customHeight="true" outlineLevel="0" collapsed="false">
      <c r="A5" s="20" t="s">
        <v>148</v>
      </c>
      <c r="B5" s="21" t="s">
        <v>48</v>
      </c>
      <c r="C5" s="21" t="s">
        <v>149</v>
      </c>
      <c r="D5" s="21" t="s">
        <v>150</v>
      </c>
      <c r="E5" s="21" t="s">
        <v>50</v>
      </c>
      <c r="F5" s="21" t="s">
        <v>151</v>
      </c>
      <c r="G5" s="21" t="s">
        <v>7</v>
      </c>
      <c r="H5" s="21" t="s">
        <v>18</v>
      </c>
      <c r="I5" s="21"/>
      <c r="J5" s="21" t="s">
        <v>152</v>
      </c>
      <c r="K5" s="21" t="s">
        <v>153</v>
      </c>
      <c r="L5" s="21" t="s">
        <v>154</v>
      </c>
      <c r="M5" s="21" t="s">
        <v>148</v>
      </c>
      <c r="N5" s="21" t="s">
        <v>155</v>
      </c>
    </row>
    <row r="6" customFormat="false" ht="38.25" hidden="false" customHeight="true" outlineLevel="0" collapsed="false">
      <c r="A6" s="20" t="s">
        <v>156</v>
      </c>
      <c r="B6" s="21" t="s">
        <v>48</v>
      </c>
      <c r="C6" s="21" t="s">
        <v>157</v>
      </c>
      <c r="D6" s="21" t="s">
        <v>158</v>
      </c>
      <c r="E6" s="21" t="s">
        <v>50</v>
      </c>
      <c r="F6" s="21" t="s">
        <v>151</v>
      </c>
      <c r="G6" s="21" t="s">
        <v>159</v>
      </c>
      <c r="H6" s="21" t="s">
        <v>12</v>
      </c>
      <c r="I6" s="22" t="n">
        <v>46286</v>
      </c>
      <c r="J6" s="21" t="s">
        <v>160</v>
      </c>
      <c r="K6" s="21" t="s">
        <v>161</v>
      </c>
      <c r="L6" s="21" t="s">
        <v>162</v>
      </c>
      <c r="M6" s="21" t="s">
        <v>163</v>
      </c>
      <c r="N6" s="21" t="s">
        <v>164</v>
      </c>
    </row>
    <row r="7" customFormat="false" ht="25.5" hidden="false" customHeight="true" outlineLevel="0" collapsed="false">
      <c r="A7" s="20" t="s">
        <v>165</v>
      </c>
      <c r="B7" s="21" t="s">
        <v>48</v>
      </c>
      <c r="C7" s="21" t="s">
        <v>166</v>
      </c>
      <c r="D7" s="21" t="s">
        <v>167</v>
      </c>
      <c r="E7" s="21" t="s">
        <v>50</v>
      </c>
      <c r="F7" s="21" t="s">
        <v>168</v>
      </c>
      <c r="G7" s="21" t="s">
        <v>7</v>
      </c>
      <c r="H7" s="21" t="s">
        <v>22</v>
      </c>
      <c r="I7" s="21"/>
      <c r="J7" s="21" t="s">
        <v>169</v>
      </c>
      <c r="K7" s="21" t="s">
        <v>170</v>
      </c>
      <c r="L7" s="21" t="s">
        <v>171</v>
      </c>
      <c r="M7" s="21" t="s">
        <v>165</v>
      </c>
      <c r="N7" s="21"/>
    </row>
    <row r="8" customFormat="false" ht="51" hidden="false" customHeight="true" outlineLevel="0" collapsed="false">
      <c r="A8" s="20" t="s">
        <v>172</v>
      </c>
      <c r="B8" s="21" t="s">
        <v>48</v>
      </c>
      <c r="C8" s="21" t="s">
        <v>173</v>
      </c>
      <c r="D8" s="21" t="s">
        <v>174</v>
      </c>
      <c r="E8" s="21" t="s">
        <v>75</v>
      </c>
      <c r="F8" s="21" t="s">
        <v>168</v>
      </c>
      <c r="G8" s="21" t="s">
        <v>159</v>
      </c>
      <c r="H8" s="21" t="s">
        <v>18</v>
      </c>
      <c r="I8" s="22"/>
      <c r="J8" s="21" t="s">
        <v>175</v>
      </c>
      <c r="K8" s="21" t="s">
        <v>176</v>
      </c>
      <c r="L8" s="21" t="s">
        <v>177</v>
      </c>
      <c r="M8" s="21" t="s">
        <v>178</v>
      </c>
      <c r="N8" s="21" t="s">
        <v>179</v>
      </c>
    </row>
    <row r="9" customFormat="false" ht="38.25" hidden="false" customHeight="true" outlineLevel="0" collapsed="false">
      <c r="A9" s="20" t="s">
        <v>180</v>
      </c>
      <c r="B9" s="21" t="s">
        <v>48</v>
      </c>
      <c r="C9" s="21" t="s">
        <v>181</v>
      </c>
      <c r="D9" s="21" t="s">
        <v>182</v>
      </c>
      <c r="E9" s="21" t="s">
        <v>50</v>
      </c>
      <c r="F9" s="21" t="s">
        <v>183</v>
      </c>
      <c r="G9" s="21" t="s">
        <v>7</v>
      </c>
      <c r="H9" s="21" t="s">
        <v>18</v>
      </c>
      <c r="I9" s="21"/>
      <c r="J9" s="21" t="s">
        <v>184</v>
      </c>
      <c r="K9" s="21" t="s">
        <v>185</v>
      </c>
      <c r="L9" s="21" t="s">
        <v>186</v>
      </c>
      <c r="M9" s="21" t="s">
        <v>180</v>
      </c>
      <c r="N9" s="21" t="s">
        <v>187</v>
      </c>
    </row>
    <row r="10" customFormat="false" ht="25.5" hidden="false" customHeight="true" outlineLevel="0" collapsed="false">
      <c r="A10" s="20" t="s">
        <v>188</v>
      </c>
      <c r="B10" s="21" t="s">
        <v>48</v>
      </c>
      <c r="C10" s="21" t="s">
        <v>189</v>
      </c>
      <c r="D10" s="21" t="s">
        <v>190</v>
      </c>
      <c r="E10" s="21" t="s">
        <v>50</v>
      </c>
      <c r="F10" s="21" t="s">
        <v>191</v>
      </c>
      <c r="G10" s="21" t="s">
        <v>192</v>
      </c>
      <c r="H10" s="21" t="s">
        <v>18</v>
      </c>
      <c r="I10" s="22"/>
      <c r="J10" s="21" t="s">
        <v>193</v>
      </c>
      <c r="K10" s="21" t="s">
        <v>194</v>
      </c>
      <c r="L10" s="21" t="s">
        <v>195</v>
      </c>
      <c r="M10" s="21" t="s">
        <v>188</v>
      </c>
      <c r="N10" s="21" t="s">
        <v>196</v>
      </c>
    </row>
    <row r="11" customFormat="false" ht="25.5" hidden="false" customHeight="true" outlineLevel="0" collapsed="false">
      <c r="A11" s="20" t="s">
        <v>197</v>
      </c>
      <c r="B11" s="21" t="s">
        <v>48</v>
      </c>
      <c r="C11" s="21" t="s">
        <v>198</v>
      </c>
      <c r="D11" s="21" t="s">
        <v>199</v>
      </c>
      <c r="E11" s="21" t="s">
        <v>50</v>
      </c>
      <c r="F11" s="21" t="s">
        <v>200</v>
      </c>
      <c r="G11" s="21" t="s">
        <v>7</v>
      </c>
      <c r="H11" s="21" t="s">
        <v>18</v>
      </c>
      <c r="I11" s="21"/>
      <c r="J11" s="21" t="s">
        <v>201</v>
      </c>
      <c r="K11" s="21" t="s">
        <v>202</v>
      </c>
      <c r="L11" s="21" t="s">
        <v>203</v>
      </c>
      <c r="M11" s="21" t="s">
        <v>197</v>
      </c>
      <c r="N11" s="21" t="s">
        <v>187</v>
      </c>
    </row>
    <row r="12" customFormat="false" ht="25.5" hidden="false" customHeight="true" outlineLevel="0" collapsed="false">
      <c r="A12" s="20" t="s">
        <v>204</v>
      </c>
      <c r="B12" s="21" t="s">
        <v>58</v>
      </c>
      <c r="C12" s="21" t="s">
        <v>149</v>
      </c>
      <c r="D12" s="21" t="s">
        <v>150</v>
      </c>
      <c r="E12" s="21" t="s">
        <v>50</v>
      </c>
      <c r="F12" s="21" t="s">
        <v>151</v>
      </c>
      <c r="G12" s="21" t="s">
        <v>3</v>
      </c>
      <c r="H12" s="21" t="s">
        <v>12</v>
      </c>
      <c r="I12" s="22" t="n">
        <v>46286</v>
      </c>
      <c r="J12" s="21" t="s">
        <v>205</v>
      </c>
      <c r="K12" s="21" t="s">
        <v>206</v>
      </c>
      <c r="L12" s="21" t="s">
        <v>207</v>
      </c>
      <c r="M12" s="21" t="s">
        <v>208</v>
      </c>
      <c r="N12" s="21"/>
    </row>
    <row r="13" customFormat="false" ht="25.5" hidden="false" customHeight="true" outlineLevel="0" collapsed="false">
      <c r="A13" s="20" t="s">
        <v>209</v>
      </c>
      <c r="B13" s="21" t="s">
        <v>58</v>
      </c>
      <c r="C13" s="21" t="s">
        <v>210</v>
      </c>
      <c r="D13" s="21" t="s">
        <v>211</v>
      </c>
      <c r="E13" s="21" t="s">
        <v>50</v>
      </c>
      <c r="F13" s="21" t="s">
        <v>183</v>
      </c>
      <c r="G13" s="21" t="s">
        <v>3</v>
      </c>
      <c r="H13" s="21" t="s">
        <v>12</v>
      </c>
      <c r="I13" s="22" t="n">
        <v>46286</v>
      </c>
      <c r="J13" s="21" t="s">
        <v>212</v>
      </c>
      <c r="K13" s="21" t="s">
        <v>213</v>
      </c>
      <c r="L13" s="21" t="s">
        <v>214</v>
      </c>
      <c r="M13" s="21" t="s">
        <v>209</v>
      </c>
      <c r="N13" s="21"/>
    </row>
    <row r="14" customFormat="false" ht="25.5" hidden="false" customHeight="true" outlineLevel="0" collapsed="false">
      <c r="A14" s="20" t="s">
        <v>215</v>
      </c>
      <c r="B14" s="21" t="s">
        <v>58</v>
      </c>
      <c r="C14" s="21" t="s">
        <v>216</v>
      </c>
      <c r="D14" s="21" t="s">
        <v>217</v>
      </c>
      <c r="E14" s="21" t="s">
        <v>50</v>
      </c>
      <c r="F14" s="21" t="s">
        <v>183</v>
      </c>
      <c r="G14" s="21" t="s">
        <v>3</v>
      </c>
      <c r="H14" s="21" t="s">
        <v>12</v>
      </c>
      <c r="I14" s="22" t="n">
        <v>46286</v>
      </c>
      <c r="J14" s="21" t="s">
        <v>218</v>
      </c>
      <c r="K14" s="21" t="s">
        <v>219</v>
      </c>
      <c r="L14" s="21" t="s">
        <v>220</v>
      </c>
      <c r="M14" s="21" t="s">
        <v>215</v>
      </c>
      <c r="N14" s="21" t="s">
        <v>221</v>
      </c>
    </row>
    <row r="15" customFormat="false" ht="38.25" hidden="false" customHeight="true" outlineLevel="0" collapsed="false">
      <c r="A15" s="20" t="s">
        <v>222</v>
      </c>
      <c r="B15" s="21" t="s">
        <v>58</v>
      </c>
      <c r="C15" s="21" t="s">
        <v>223</v>
      </c>
      <c r="D15" s="21" t="s">
        <v>224</v>
      </c>
      <c r="E15" s="21" t="s">
        <v>50</v>
      </c>
      <c r="F15" s="21" t="s">
        <v>183</v>
      </c>
      <c r="G15" s="21" t="s">
        <v>3</v>
      </c>
      <c r="H15" s="21" t="s">
        <v>12</v>
      </c>
      <c r="I15" s="22" t="n">
        <v>46286</v>
      </c>
      <c r="J15" s="21" t="s">
        <v>225</v>
      </c>
      <c r="K15" s="21" t="s">
        <v>226</v>
      </c>
      <c r="L15" s="21" t="s">
        <v>227</v>
      </c>
      <c r="M15" s="21" t="s">
        <v>228</v>
      </c>
      <c r="N15" s="21"/>
    </row>
    <row r="16" customFormat="false" ht="38.25" hidden="false" customHeight="true" outlineLevel="0" collapsed="false">
      <c r="A16" s="20" t="s">
        <v>229</v>
      </c>
      <c r="B16" s="21" t="s">
        <v>58</v>
      </c>
      <c r="C16" s="21" t="s">
        <v>230</v>
      </c>
      <c r="D16" s="21" t="s">
        <v>231</v>
      </c>
      <c r="E16" s="21" t="s">
        <v>50</v>
      </c>
      <c r="F16" s="21" t="s">
        <v>183</v>
      </c>
      <c r="G16" s="21" t="s">
        <v>3</v>
      </c>
      <c r="H16" s="21" t="s">
        <v>12</v>
      </c>
      <c r="I16" s="22" t="n">
        <v>46286</v>
      </c>
      <c r="J16" s="21" t="s">
        <v>232</v>
      </c>
      <c r="K16" s="21" t="s">
        <v>233</v>
      </c>
      <c r="L16" s="21" t="s">
        <v>234</v>
      </c>
      <c r="M16" s="21" t="s">
        <v>235</v>
      </c>
      <c r="N16" s="21"/>
    </row>
    <row r="17" customFormat="false" ht="38.25" hidden="false" customHeight="true" outlineLevel="0" collapsed="false">
      <c r="A17" s="20" t="s">
        <v>236</v>
      </c>
      <c r="B17" s="21" t="s">
        <v>58</v>
      </c>
      <c r="C17" s="21" t="s">
        <v>237</v>
      </c>
      <c r="D17" s="21" t="s">
        <v>238</v>
      </c>
      <c r="E17" s="21" t="s">
        <v>75</v>
      </c>
      <c r="F17" s="21" t="s">
        <v>183</v>
      </c>
      <c r="G17" s="21" t="s">
        <v>3</v>
      </c>
      <c r="H17" s="21" t="s">
        <v>12</v>
      </c>
      <c r="I17" s="22" t="n">
        <v>46286</v>
      </c>
      <c r="J17" s="21" t="s">
        <v>239</v>
      </c>
      <c r="K17" s="21" t="s">
        <v>240</v>
      </c>
      <c r="L17" s="21" t="s">
        <v>241</v>
      </c>
      <c r="M17" s="21" t="s">
        <v>242</v>
      </c>
      <c r="N17" s="21"/>
    </row>
    <row r="18" customFormat="false" ht="38.25" hidden="false" customHeight="true" outlineLevel="0" collapsed="false">
      <c r="A18" s="20" t="s">
        <v>243</v>
      </c>
      <c r="B18" s="21" t="s">
        <v>58</v>
      </c>
      <c r="C18" s="21" t="s">
        <v>244</v>
      </c>
      <c r="D18" s="21" t="s">
        <v>245</v>
      </c>
      <c r="E18" s="21" t="s">
        <v>50</v>
      </c>
      <c r="F18" s="21" t="s">
        <v>246</v>
      </c>
      <c r="G18" s="21" t="s">
        <v>3</v>
      </c>
      <c r="H18" s="21" t="s">
        <v>12</v>
      </c>
      <c r="I18" s="22" t="n">
        <v>46286</v>
      </c>
      <c r="J18" s="21" t="s">
        <v>247</v>
      </c>
      <c r="K18" s="21" t="s">
        <v>248</v>
      </c>
      <c r="L18" s="21" t="s">
        <v>249</v>
      </c>
      <c r="M18" s="21" t="s">
        <v>243</v>
      </c>
      <c r="N18" s="21"/>
    </row>
    <row r="19" customFormat="false" ht="25.5" hidden="false" customHeight="true" outlineLevel="0" collapsed="false">
      <c r="A19" s="20" t="s">
        <v>250</v>
      </c>
      <c r="B19" s="21" t="s">
        <v>58</v>
      </c>
      <c r="C19" s="21" t="s">
        <v>251</v>
      </c>
      <c r="D19" s="21" t="s">
        <v>252</v>
      </c>
      <c r="E19" s="21" t="s">
        <v>75</v>
      </c>
      <c r="F19" s="21" t="s">
        <v>200</v>
      </c>
      <c r="G19" s="21" t="s">
        <v>3</v>
      </c>
      <c r="H19" s="21" t="s">
        <v>12</v>
      </c>
      <c r="I19" s="22" t="n">
        <v>46286</v>
      </c>
      <c r="J19" s="21" t="s">
        <v>253</v>
      </c>
      <c r="K19" s="21" t="s">
        <v>254</v>
      </c>
      <c r="L19" s="21" t="s">
        <v>255</v>
      </c>
      <c r="M19" s="21" t="s">
        <v>250</v>
      </c>
      <c r="N19" s="21"/>
    </row>
    <row r="20" customFormat="false" ht="25.5" hidden="false" customHeight="true" outlineLevel="0" collapsed="false">
      <c r="A20" s="20" t="s">
        <v>256</v>
      </c>
      <c r="B20" s="21" t="s">
        <v>66</v>
      </c>
      <c r="C20" s="21" t="s">
        <v>149</v>
      </c>
      <c r="D20" s="21" t="s">
        <v>150</v>
      </c>
      <c r="E20" s="21" t="s">
        <v>50</v>
      </c>
      <c r="F20" s="21" t="s">
        <v>151</v>
      </c>
      <c r="G20" s="21" t="s">
        <v>3</v>
      </c>
      <c r="H20" s="21" t="s">
        <v>12</v>
      </c>
      <c r="I20" s="22" t="n">
        <v>46286</v>
      </c>
      <c r="J20" s="21" t="s">
        <v>257</v>
      </c>
      <c r="K20" s="21" t="s">
        <v>206</v>
      </c>
      <c r="L20" s="21" t="s">
        <v>258</v>
      </c>
      <c r="M20" s="21" t="s">
        <v>259</v>
      </c>
      <c r="N20" s="21"/>
    </row>
    <row r="21" customFormat="false" ht="15" hidden="false" customHeight="true" outlineLevel="0" collapsed="false">
      <c r="A21" s="20" t="s">
        <v>260</v>
      </c>
      <c r="B21" s="21" t="s">
        <v>66</v>
      </c>
      <c r="C21" s="21" t="s">
        <v>210</v>
      </c>
      <c r="D21" s="21" t="s">
        <v>211</v>
      </c>
      <c r="E21" s="21" t="s">
        <v>50</v>
      </c>
      <c r="F21" s="21" t="s">
        <v>261</v>
      </c>
      <c r="G21" s="21" t="s">
        <v>3</v>
      </c>
      <c r="H21" s="21" t="s">
        <v>12</v>
      </c>
      <c r="I21" s="22" t="n">
        <v>46286</v>
      </c>
      <c r="J21" s="21" t="s">
        <v>262</v>
      </c>
      <c r="K21" s="21" t="s">
        <v>213</v>
      </c>
      <c r="L21" s="21" t="s">
        <v>263</v>
      </c>
      <c r="M21" s="21" t="s">
        <v>260</v>
      </c>
      <c r="N21" s="21"/>
    </row>
    <row r="22" customFormat="false" ht="38.25" hidden="false" customHeight="true" outlineLevel="0" collapsed="false">
      <c r="A22" s="20" t="s">
        <v>264</v>
      </c>
      <c r="B22" s="21" t="s">
        <v>66</v>
      </c>
      <c r="C22" s="21" t="s">
        <v>223</v>
      </c>
      <c r="D22" s="21" t="s">
        <v>224</v>
      </c>
      <c r="E22" s="21" t="s">
        <v>50</v>
      </c>
      <c r="F22" s="21" t="s">
        <v>183</v>
      </c>
      <c r="G22" s="21" t="s">
        <v>3</v>
      </c>
      <c r="H22" s="21" t="s">
        <v>12</v>
      </c>
      <c r="I22" s="22" t="n">
        <v>46286</v>
      </c>
      <c r="J22" s="21" t="s">
        <v>265</v>
      </c>
      <c r="K22" s="21" t="s">
        <v>226</v>
      </c>
      <c r="L22" s="21" t="s">
        <v>266</v>
      </c>
      <c r="M22" s="21" t="s">
        <v>267</v>
      </c>
      <c r="N22" s="21"/>
    </row>
    <row r="23" customFormat="false" ht="25.5" hidden="false" customHeight="true" outlineLevel="0" collapsed="false">
      <c r="A23" s="20" t="s">
        <v>268</v>
      </c>
      <c r="B23" s="21" t="s">
        <v>66</v>
      </c>
      <c r="C23" s="21" t="s">
        <v>198</v>
      </c>
      <c r="D23" s="21" t="s">
        <v>269</v>
      </c>
      <c r="E23" s="21" t="s">
        <v>50</v>
      </c>
      <c r="F23" s="21" t="s">
        <v>200</v>
      </c>
      <c r="G23" s="21" t="s">
        <v>3</v>
      </c>
      <c r="H23" s="21" t="s">
        <v>12</v>
      </c>
      <c r="I23" s="22" t="n">
        <v>46286</v>
      </c>
      <c r="J23" s="21" t="s">
        <v>270</v>
      </c>
      <c r="K23" s="21" t="s">
        <v>202</v>
      </c>
      <c r="L23" s="21" t="s">
        <v>271</v>
      </c>
      <c r="M23" s="21" t="s">
        <v>268</v>
      </c>
      <c r="N23" s="21"/>
    </row>
    <row r="24" customFormat="false" ht="51" hidden="false" customHeight="true" outlineLevel="0" collapsed="false">
      <c r="A24" s="20" t="s">
        <v>272</v>
      </c>
      <c r="B24" s="21" t="s">
        <v>73</v>
      </c>
      <c r="C24" s="21" t="s">
        <v>149</v>
      </c>
      <c r="D24" s="21" t="s">
        <v>150</v>
      </c>
      <c r="E24" s="21" t="s">
        <v>75</v>
      </c>
      <c r="F24" s="21" t="s">
        <v>261</v>
      </c>
      <c r="G24" s="21" t="s">
        <v>3</v>
      </c>
      <c r="H24" s="21" t="s">
        <v>18</v>
      </c>
      <c r="I24" s="22"/>
      <c r="J24" s="21" t="s">
        <v>273</v>
      </c>
      <c r="K24" s="21" t="s">
        <v>274</v>
      </c>
      <c r="L24" s="21" t="s">
        <v>275</v>
      </c>
      <c r="M24" s="21" t="s">
        <v>276</v>
      </c>
      <c r="N24" s="21" t="s">
        <v>277</v>
      </c>
    </row>
    <row r="25" customFormat="false" ht="15" hidden="false" customHeight="true" outlineLevel="0" collapsed="false">
      <c r="A25" s="20" t="s">
        <v>278</v>
      </c>
      <c r="B25" s="21" t="s">
        <v>73</v>
      </c>
      <c r="C25" s="21" t="s">
        <v>279</v>
      </c>
      <c r="D25" s="21" t="s">
        <v>211</v>
      </c>
      <c r="E25" s="21" t="s">
        <v>75</v>
      </c>
      <c r="F25" s="21" t="s">
        <v>261</v>
      </c>
      <c r="G25" s="21" t="s">
        <v>3</v>
      </c>
      <c r="H25" s="21" t="s">
        <v>22</v>
      </c>
      <c r="I25" s="21"/>
      <c r="J25" s="21" t="s">
        <v>169</v>
      </c>
      <c r="K25" s="21" t="s">
        <v>280</v>
      </c>
      <c r="L25" s="21" t="s">
        <v>281</v>
      </c>
      <c r="M25" s="21" t="s">
        <v>278</v>
      </c>
      <c r="N25" s="21"/>
    </row>
    <row r="26" customFormat="false" ht="25.5" hidden="false" customHeight="true" outlineLevel="0" collapsed="false">
      <c r="A26" s="20" t="s">
        <v>282</v>
      </c>
      <c r="B26" s="21" t="s">
        <v>73</v>
      </c>
      <c r="C26" s="21" t="s">
        <v>283</v>
      </c>
      <c r="D26" s="21" t="s">
        <v>284</v>
      </c>
      <c r="E26" s="21" t="s">
        <v>124</v>
      </c>
      <c r="F26" s="21" t="s">
        <v>261</v>
      </c>
      <c r="G26" s="21" t="s">
        <v>3</v>
      </c>
      <c r="H26" s="21" t="s">
        <v>18</v>
      </c>
      <c r="I26" s="22"/>
      <c r="J26" s="21" t="s">
        <v>285</v>
      </c>
      <c r="K26" s="21" t="s">
        <v>286</v>
      </c>
      <c r="L26" s="21" t="s">
        <v>287</v>
      </c>
      <c r="M26" s="21" t="s">
        <v>282</v>
      </c>
      <c r="N26" s="21"/>
    </row>
    <row r="27" customFormat="false" ht="38.25" hidden="false" customHeight="true" outlineLevel="0" collapsed="false">
      <c r="A27" s="20" t="s">
        <v>288</v>
      </c>
      <c r="B27" s="21" t="s">
        <v>82</v>
      </c>
      <c r="C27" s="21" t="s">
        <v>289</v>
      </c>
      <c r="D27" s="21" t="s">
        <v>290</v>
      </c>
      <c r="E27" s="21" t="s">
        <v>50</v>
      </c>
      <c r="F27" s="21" t="s">
        <v>261</v>
      </c>
      <c r="G27" s="21" t="s">
        <v>3</v>
      </c>
      <c r="H27" s="21" t="s">
        <v>22</v>
      </c>
      <c r="I27" s="21"/>
      <c r="J27" s="21" t="s">
        <v>169</v>
      </c>
      <c r="K27" s="21" t="s">
        <v>291</v>
      </c>
      <c r="L27" s="21" t="s">
        <v>292</v>
      </c>
      <c r="M27" s="21" t="s">
        <v>288</v>
      </c>
      <c r="N27" s="21"/>
    </row>
    <row r="28" customFormat="false" ht="51" hidden="false" customHeight="true" outlineLevel="0" collapsed="false">
      <c r="A28" s="20" t="s">
        <v>293</v>
      </c>
      <c r="B28" s="21" t="s">
        <v>82</v>
      </c>
      <c r="C28" s="21" t="s">
        <v>149</v>
      </c>
      <c r="D28" s="21" t="s">
        <v>150</v>
      </c>
      <c r="E28" s="21" t="s">
        <v>50</v>
      </c>
      <c r="F28" s="21" t="s">
        <v>261</v>
      </c>
      <c r="G28" s="21" t="s">
        <v>3</v>
      </c>
      <c r="H28" s="21" t="s">
        <v>12</v>
      </c>
      <c r="I28" s="22" t="n">
        <v>46286</v>
      </c>
      <c r="J28" s="21" t="s">
        <v>294</v>
      </c>
      <c r="K28" s="21" t="s">
        <v>274</v>
      </c>
      <c r="L28" s="21" t="s">
        <v>295</v>
      </c>
      <c r="M28" s="21" t="s">
        <v>296</v>
      </c>
      <c r="N28" s="21" t="s">
        <v>297</v>
      </c>
    </row>
    <row r="29" customFormat="false" ht="38.25" hidden="false" customHeight="true" outlineLevel="0" collapsed="false">
      <c r="A29" s="20" t="s">
        <v>298</v>
      </c>
      <c r="B29" s="21" t="s">
        <v>82</v>
      </c>
      <c r="C29" s="21" t="s">
        <v>299</v>
      </c>
      <c r="D29" s="21" t="s">
        <v>300</v>
      </c>
      <c r="E29" s="21" t="s">
        <v>50</v>
      </c>
      <c r="F29" s="21" t="s">
        <v>261</v>
      </c>
      <c r="G29" s="21" t="s">
        <v>3</v>
      </c>
      <c r="H29" s="21" t="s">
        <v>22</v>
      </c>
      <c r="I29" s="21"/>
      <c r="J29" s="21" t="s">
        <v>301</v>
      </c>
      <c r="K29" s="21" t="s">
        <v>302</v>
      </c>
      <c r="L29" s="21" t="s">
        <v>303</v>
      </c>
      <c r="M29" s="21" t="s">
        <v>298</v>
      </c>
      <c r="N29" s="21" t="s">
        <v>304</v>
      </c>
    </row>
    <row r="30" customFormat="false" ht="25.5" hidden="false" customHeight="true" outlineLevel="0" collapsed="false">
      <c r="A30" s="20" t="s">
        <v>305</v>
      </c>
      <c r="B30" s="21" t="s">
        <v>82</v>
      </c>
      <c r="C30" s="21" t="s">
        <v>306</v>
      </c>
      <c r="D30" s="21" t="s">
        <v>307</v>
      </c>
      <c r="E30" s="21" t="s">
        <v>50</v>
      </c>
      <c r="F30" s="21" t="s">
        <v>261</v>
      </c>
      <c r="G30" s="21" t="s">
        <v>3</v>
      </c>
      <c r="H30" s="21" t="s">
        <v>12</v>
      </c>
      <c r="I30" s="22" t="n">
        <v>46286</v>
      </c>
      <c r="J30" s="21" t="s">
        <v>308</v>
      </c>
      <c r="K30" s="21" t="s">
        <v>309</v>
      </c>
      <c r="L30" s="21" t="s">
        <v>310</v>
      </c>
      <c r="M30" s="21" t="s">
        <v>305</v>
      </c>
      <c r="N30" s="21"/>
    </row>
    <row r="31" customFormat="false" ht="25.5" hidden="false" customHeight="true" outlineLevel="0" collapsed="false">
      <c r="A31" s="20" t="s">
        <v>311</v>
      </c>
      <c r="B31" s="21" t="s">
        <v>82</v>
      </c>
      <c r="C31" s="21" t="s">
        <v>312</v>
      </c>
      <c r="D31" s="21" t="s">
        <v>313</v>
      </c>
      <c r="E31" s="21" t="s">
        <v>50</v>
      </c>
      <c r="F31" s="21" t="s">
        <v>261</v>
      </c>
      <c r="G31" s="21" t="s">
        <v>3</v>
      </c>
      <c r="H31" s="21" t="s">
        <v>12</v>
      </c>
      <c r="I31" s="22" t="n">
        <v>46286</v>
      </c>
      <c r="J31" s="21" t="s">
        <v>314</v>
      </c>
      <c r="K31" s="21" t="s">
        <v>315</v>
      </c>
      <c r="L31" s="21" t="s">
        <v>316</v>
      </c>
      <c r="M31" s="21" t="s">
        <v>311</v>
      </c>
      <c r="N31" s="21" t="s">
        <v>317</v>
      </c>
    </row>
    <row r="32" customFormat="false" ht="25.5" hidden="false" customHeight="true" outlineLevel="0" collapsed="false">
      <c r="A32" s="20" t="s">
        <v>318</v>
      </c>
      <c r="B32" s="21" t="s">
        <v>82</v>
      </c>
      <c r="C32" s="21" t="s">
        <v>198</v>
      </c>
      <c r="D32" s="21" t="s">
        <v>319</v>
      </c>
      <c r="E32" s="21" t="s">
        <v>50</v>
      </c>
      <c r="F32" s="21" t="s">
        <v>200</v>
      </c>
      <c r="G32" s="21" t="s">
        <v>3</v>
      </c>
      <c r="H32" s="21" t="s">
        <v>12</v>
      </c>
      <c r="I32" s="22" t="n">
        <v>46286</v>
      </c>
      <c r="J32" s="21" t="s">
        <v>320</v>
      </c>
      <c r="K32" s="21" t="s">
        <v>202</v>
      </c>
      <c r="L32" s="21" t="s">
        <v>321</v>
      </c>
      <c r="M32" s="21" t="s">
        <v>318</v>
      </c>
      <c r="N32" s="21"/>
    </row>
    <row r="33" customFormat="false" ht="38.25" hidden="false" customHeight="true" outlineLevel="0" collapsed="false">
      <c r="A33" s="20" t="s">
        <v>322</v>
      </c>
      <c r="B33" s="21" t="s">
        <v>89</v>
      </c>
      <c r="C33" s="21" t="s">
        <v>289</v>
      </c>
      <c r="D33" s="21" t="s">
        <v>290</v>
      </c>
      <c r="E33" s="21" t="s">
        <v>50</v>
      </c>
      <c r="F33" s="21" t="s">
        <v>261</v>
      </c>
      <c r="G33" s="21" t="s">
        <v>3</v>
      </c>
      <c r="H33" s="21" t="s">
        <v>22</v>
      </c>
      <c r="I33" s="21"/>
      <c r="J33" s="21" t="s">
        <v>169</v>
      </c>
      <c r="K33" s="21" t="s">
        <v>291</v>
      </c>
      <c r="L33" s="21" t="s">
        <v>323</v>
      </c>
      <c r="M33" s="21" t="s">
        <v>322</v>
      </c>
      <c r="N33" s="21"/>
    </row>
    <row r="34" customFormat="false" ht="38.25" hidden="false" customHeight="true" outlineLevel="0" collapsed="false">
      <c r="A34" s="20" t="s">
        <v>324</v>
      </c>
      <c r="B34" s="21" t="s">
        <v>89</v>
      </c>
      <c r="C34" s="21" t="s">
        <v>325</v>
      </c>
      <c r="D34" s="21" t="s">
        <v>326</v>
      </c>
      <c r="E34" s="21" t="s">
        <v>50</v>
      </c>
      <c r="F34" s="21" t="s">
        <v>261</v>
      </c>
      <c r="G34" s="21" t="s">
        <v>3</v>
      </c>
      <c r="H34" s="21" t="s">
        <v>18</v>
      </c>
      <c r="I34" s="22"/>
      <c r="J34" s="21" t="s">
        <v>327</v>
      </c>
      <c r="K34" s="21" t="s">
        <v>328</v>
      </c>
      <c r="L34" s="21" t="s">
        <v>329</v>
      </c>
      <c r="M34" s="21" t="s">
        <v>330</v>
      </c>
      <c r="N34" s="21"/>
    </row>
    <row r="35" customFormat="false" ht="89.25" hidden="false" customHeight="true" outlineLevel="0" collapsed="false">
      <c r="A35" s="20" t="s">
        <v>331</v>
      </c>
      <c r="B35" s="21" t="s">
        <v>89</v>
      </c>
      <c r="C35" s="21" t="s">
        <v>332</v>
      </c>
      <c r="D35" s="21" t="s">
        <v>333</v>
      </c>
      <c r="E35" s="21" t="s">
        <v>75</v>
      </c>
      <c r="F35" s="21" t="s">
        <v>261</v>
      </c>
      <c r="G35" s="21" t="s">
        <v>3</v>
      </c>
      <c r="H35" s="21" t="s">
        <v>18</v>
      </c>
      <c r="I35" s="22"/>
      <c r="J35" s="21" t="s">
        <v>334</v>
      </c>
      <c r="K35" s="21" t="s">
        <v>335</v>
      </c>
      <c r="L35" s="21" t="s">
        <v>336</v>
      </c>
      <c r="M35" s="21" t="s">
        <v>331</v>
      </c>
      <c r="N35" s="21" t="s">
        <v>337</v>
      </c>
    </row>
    <row r="36" customFormat="false" ht="25.5" hidden="false" customHeight="true" outlineLevel="0" collapsed="false">
      <c r="A36" s="20" t="s">
        <v>338</v>
      </c>
      <c r="B36" s="21" t="s">
        <v>89</v>
      </c>
      <c r="C36" s="21" t="s">
        <v>339</v>
      </c>
      <c r="D36" s="21" t="s">
        <v>340</v>
      </c>
      <c r="E36" s="21" t="s">
        <v>50</v>
      </c>
      <c r="F36" s="21" t="s">
        <v>200</v>
      </c>
      <c r="G36" s="21" t="s">
        <v>3</v>
      </c>
      <c r="H36" s="21" t="s">
        <v>18</v>
      </c>
      <c r="I36" s="22"/>
      <c r="J36" s="21" t="s">
        <v>341</v>
      </c>
      <c r="K36" s="21" t="s">
        <v>342</v>
      </c>
      <c r="L36" s="21" t="s">
        <v>343</v>
      </c>
      <c r="M36" s="21" t="s">
        <v>338</v>
      </c>
      <c r="N36" s="21"/>
    </row>
    <row r="37" customFormat="false" ht="38.25" hidden="false" customHeight="true" outlineLevel="0" collapsed="false">
      <c r="A37" s="20" t="s">
        <v>344</v>
      </c>
      <c r="B37" s="21" t="s">
        <v>97</v>
      </c>
      <c r="C37" s="21" t="s">
        <v>289</v>
      </c>
      <c r="D37" s="21" t="s">
        <v>290</v>
      </c>
      <c r="E37" s="21" t="s">
        <v>75</v>
      </c>
      <c r="F37" s="21" t="s">
        <v>261</v>
      </c>
      <c r="G37" s="21" t="s">
        <v>3</v>
      </c>
      <c r="H37" s="21" t="s">
        <v>20</v>
      </c>
      <c r="I37" s="21"/>
      <c r="J37" s="21" t="s">
        <v>345</v>
      </c>
      <c r="K37" s="21" t="s">
        <v>291</v>
      </c>
      <c r="L37" s="21" t="s">
        <v>346</v>
      </c>
      <c r="M37" s="21" t="s">
        <v>344</v>
      </c>
      <c r="N37" s="21"/>
    </row>
    <row r="38" customFormat="false" ht="38.25" hidden="false" customHeight="true" outlineLevel="0" collapsed="false">
      <c r="A38" s="20" t="s">
        <v>347</v>
      </c>
      <c r="B38" s="21" t="s">
        <v>97</v>
      </c>
      <c r="C38" s="21" t="s">
        <v>325</v>
      </c>
      <c r="D38" s="21" t="s">
        <v>348</v>
      </c>
      <c r="E38" s="21" t="s">
        <v>75</v>
      </c>
      <c r="F38" s="21" t="s">
        <v>261</v>
      </c>
      <c r="G38" s="21" t="s">
        <v>3</v>
      </c>
      <c r="H38" s="21" t="s">
        <v>20</v>
      </c>
      <c r="I38" s="21"/>
      <c r="J38" s="21" t="s">
        <v>345</v>
      </c>
      <c r="K38" s="21" t="s">
        <v>349</v>
      </c>
      <c r="L38" s="21" t="s">
        <v>350</v>
      </c>
      <c r="M38" s="21" t="s">
        <v>347</v>
      </c>
      <c r="N38" s="21"/>
    </row>
    <row r="39" customFormat="false" ht="25.5" hidden="false" customHeight="true" outlineLevel="0" collapsed="false">
      <c r="A39" s="20" t="s">
        <v>351</v>
      </c>
      <c r="B39" s="21" t="s">
        <v>97</v>
      </c>
      <c r="C39" s="21" t="s">
        <v>339</v>
      </c>
      <c r="D39" s="21" t="s">
        <v>352</v>
      </c>
      <c r="E39" s="21" t="s">
        <v>75</v>
      </c>
      <c r="F39" s="21" t="s">
        <v>200</v>
      </c>
      <c r="G39" s="21" t="s">
        <v>3</v>
      </c>
      <c r="H39" s="21" t="s">
        <v>20</v>
      </c>
      <c r="I39" s="21"/>
      <c r="J39" s="21" t="s">
        <v>353</v>
      </c>
      <c r="K39" s="21" t="s">
        <v>342</v>
      </c>
      <c r="L39" s="21" t="s">
        <v>354</v>
      </c>
      <c r="M39" s="21" t="s">
        <v>351</v>
      </c>
      <c r="N39" s="21"/>
    </row>
    <row r="40" customFormat="false" ht="25.5" hidden="false" customHeight="true" outlineLevel="0" collapsed="false">
      <c r="A40" s="20" t="s">
        <v>355</v>
      </c>
      <c r="B40" s="21" t="s">
        <v>104</v>
      </c>
      <c r="C40" s="21" t="s">
        <v>356</v>
      </c>
      <c r="D40" s="21" t="s">
        <v>357</v>
      </c>
      <c r="E40" s="21" t="s">
        <v>50</v>
      </c>
      <c r="F40" s="21" t="s">
        <v>261</v>
      </c>
      <c r="G40" s="21" t="s">
        <v>3</v>
      </c>
      <c r="H40" s="21" t="s">
        <v>20</v>
      </c>
      <c r="I40" s="21"/>
      <c r="J40" s="21" t="s">
        <v>358</v>
      </c>
      <c r="K40" s="21" t="s">
        <v>359</v>
      </c>
      <c r="L40" s="21" t="s">
        <v>360</v>
      </c>
      <c r="M40" s="21" t="s">
        <v>355</v>
      </c>
      <c r="N40" s="21"/>
    </row>
    <row r="41" customFormat="false" ht="25.5" hidden="false" customHeight="true" outlineLevel="0" collapsed="false">
      <c r="A41" s="20" t="s">
        <v>361</v>
      </c>
      <c r="B41" s="21" t="s">
        <v>104</v>
      </c>
      <c r="C41" s="21" t="s">
        <v>306</v>
      </c>
      <c r="D41" s="21" t="s">
        <v>307</v>
      </c>
      <c r="E41" s="21" t="s">
        <v>50</v>
      </c>
      <c r="F41" s="21" t="s">
        <v>261</v>
      </c>
      <c r="G41" s="21" t="s">
        <v>3</v>
      </c>
      <c r="H41" s="21" t="s">
        <v>20</v>
      </c>
      <c r="I41" s="21"/>
      <c r="J41" s="21" t="s">
        <v>362</v>
      </c>
      <c r="K41" s="21" t="s">
        <v>363</v>
      </c>
      <c r="L41" s="21" t="s">
        <v>364</v>
      </c>
      <c r="M41" s="21" t="s">
        <v>361</v>
      </c>
      <c r="N41" s="21"/>
    </row>
    <row r="42" customFormat="false" ht="38.25" hidden="false" customHeight="true" outlineLevel="0" collapsed="false">
      <c r="A42" s="20" t="s">
        <v>365</v>
      </c>
      <c r="B42" s="21" t="s">
        <v>104</v>
      </c>
      <c r="C42" s="21" t="s">
        <v>289</v>
      </c>
      <c r="D42" s="21" t="s">
        <v>290</v>
      </c>
      <c r="E42" s="21" t="s">
        <v>50</v>
      </c>
      <c r="F42" s="21" t="s">
        <v>261</v>
      </c>
      <c r="G42" s="21" t="s">
        <v>3</v>
      </c>
      <c r="H42" s="21" t="s">
        <v>20</v>
      </c>
      <c r="I42" s="21"/>
      <c r="J42" s="21" t="s">
        <v>358</v>
      </c>
      <c r="K42" s="21" t="s">
        <v>291</v>
      </c>
      <c r="L42" s="21" t="s">
        <v>366</v>
      </c>
      <c r="M42" s="21" t="s">
        <v>365</v>
      </c>
      <c r="N42" s="21"/>
    </row>
    <row r="43" customFormat="false" ht="38.25" hidden="false" customHeight="true" outlineLevel="0" collapsed="false">
      <c r="A43" s="20" t="s">
        <v>367</v>
      </c>
      <c r="B43" s="21" t="s">
        <v>104</v>
      </c>
      <c r="C43" s="21" t="s">
        <v>325</v>
      </c>
      <c r="D43" s="21" t="s">
        <v>368</v>
      </c>
      <c r="E43" s="21" t="s">
        <v>50</v>
      </c>
      <c r="F43" s="21" t="s">
        <v>261</v>
      </c>
      <c r="G43" s="21" t="s">
        <v>3</v>
      </c>
      <c r="H43" s="21" t="s">
        <v>20</v>
      </c>
      <c r="I43" s="21"/>
      <c r="J43" s="21" t="s">
        <v>369</v>
      </c>
      <c r="K43" s="21" t="s">
        <v>349</v>
      </c>
      <c r="L43" s="21" t="s">
        <v>370</v>
      </c>
      <c r="M43" s="21" t="s">
        <v>367</v>
      </c>
      <c r="N43" s="21"/>
    </row>
    <row r="44" customFormat="false" ht="25.5" hidden="false" customHeight="true" outlineLevel="0" collapsed="false">
      <c r="A44" s="20" t="s">
        <v>371</v>
      </c>
      <c r="B44" s="21" t="s">
        <v>104</v>
      </c>
      <c r="C44" s="21" t="s">
        <v>372</v>
      </c>
      <c r="D44" s="21" t="s">
        <v>373</v>
      </c>
      <c r="E44" s="21" t="s">
        <v>50</v>
      </c>
      <c r="F44" s="21" t="s">
        <v>261</v>
      </c>
      <c r="G44" s="21" t="s">
        <v>3</v>
      </c>
      <c r="H44" s="21" t="s">
        <v>20</v>
      </c>
      <c r="I44" s="21"/>
      <c r="J44" s="21" t="s">
        <v>374</v>
      </c>
      <c r="K44" s="21" t="s">
        <v>375</v>
      </c>
      <c r="L44" s="21" t="s">
        <v>376</v>
      </c>
      <c r="M44" s="21" t="s">
        <v>371</v>
      </c>
      <c r="N44" s="21"/>
    </row>
    <row r="45" customFormat="false" ht="25.5" hidden="false" customHeight="true" outlineLevel="0" collapsed="false">
      <c r="A45" s="20" t="s">
        <v>377</v>
      </c>
      <c r="B45" s="21" t="s">
        <v>104</v>
      </c>
      <c r="C45" s="21" t="s">
        <v>339</v>
      </c>
      <c r="D45" s="21" t="s">
        <v>378</v>
      </c>
      <c r="E45" s="21" t="s">
        <v>50</v>
      </c>
      <c r="F45" s="21" t="s">
        <v>200</v>
      </c>
      <c r="G45" s="21" t="s">
        <v>3</v>
      </c>
      <c r="H45" s="21" t="s">
        <v>20</v>
      </c>
      <c r="I45" s="21"/>
      <c r="J45" s="21" t="s">
        <v>379</v>
      </c>
      <c r="K45" s="21" t="s">
        <v>342</v>
      </c>
      <c r="L45" s="21" t="s">
        <v>354</v>
      </c>
      <c r="M45" s="21" t="s">
        <v>377</v>
      </c>
      <c r="N45" s="21"/>
    </row>
    <row r="46" customFormat="false" ht="25.5" hidden="false" customHeight="true" outlineLevel="0" collapsed="false">
      <c r="A46" s="20" t="s">
        <v>380</v>
      </c>
      <c r="B46" s="21" t="s">
        <v>110</v>
      </c>
      <c r="C46" s="21" t="s">
        <v>166</v>
      </c>
      <c r="D46" s="21" t="s">
        <v>167</v>
      </c>
      <c r="E46" s="21" t="s">
        <v>75</v>
      </c>
      <c r="F46" s="21" t="s">
        <v>261</v>
      </c>
      <c r="G46" s="21" t="s">
        <v>3</v>
      </c>
      <c r="H46" s="21" t="s">
        <v>12</v>
      </c>
      <c r="I46" s="22" t="n">
        <v>46286</v>
      </c>
      <c r="J46" s="21" t="s">
        <v>381</v>
      </c>
      <c r="K46" s="21" t="s">
        <v>170</v>
      </c>
      <c r="L46" s="21" t="s">
        <v>382</v>
      </c>
      <c r="M46" s="21" t="s">
        <v>380</v>
      </c>
      <c r="N46" s="21"/>
    </row>
    <row r="47" customFormat="false" ht="38.25" hidden="false" customHeight="true" outlineLevel="0" collapsed="false">
      <c r="A47" s="20" t="s">
        <v>383</v>
      </c>
      <c r="B47" s="21" t="s">
        <v>110</v>
      </c>
      <c r="C47" s="21" t="s">
        <v>384</v>
      </c>
      <c r="D47" s="21" t="s">
        <v>385</v>
      </c>
      <c r="E47" s="21" t="s">
        <v>75</v>
      </c>
      <c r="F47" s="21" t="s">
        <v>261</v>
      </c>
      <c r="G47" s="21" t="s">
        <v>3</v>
      </c>
      <c r="H47" s="21" t="s">
        <v>12</v>
      </c>
      <c r="I47" s="22" t="n">
        <v>46286</v>
      </c>
      <c r="J47" s="21" t="s">
        <v>386</v>
      </c>
      <c r="K47" s="21" t="s">
        <v>387</v>
      </c>
      <c r="L47" s="21" t="s">
        <v>388</v>
      </c>
      <c r="M47" s="21" t="s">
        <v>383</v>
      </c>
      <c r="N47" s="21"/>
    </row>
    <row r="48" customFormat="false" ht="25.5" hidden="false" customHeight="true" outlineLevel="0" collapsed="false">
      <c r="A48" s="20" t="s">
        <v>389</v>
      </c>
      <c r="B48" s="21" t="s">
        <v>110</v>
      </c>
      <c r="C48" s="21" t="s">
        <v>390</v>
      </c>
      <c r="D48" s="21" t="s">
        <v>391</v>
      </c>
      <c r="E48" s="21" t="s">
        <v>75</v>
      </c>
      <c r="F48" s="21" t="s">
        <v>261</v>
      </c>
      <c r="G48" s="21" t="s">
        <v>3</v>
      </c>
      <c r="H48" s="21" t="s">
        <v>12</v>
      </c>
      <c r="I48" s="22" t="n">
        <v>46286</v>
      </c>
      <c r="J48" s="21" t="s">
        <v>392</v>
      </c>
      <c r="K48" s="21" t="s">
        <v>393</v>
      </c>
      <c r="L48" s="21" t="s">
        <v>394</v>
      </c>
      <c r="M48" s="21" t="s">
        <v>389</v>
      </c>
      <c r="N48" s="21"/>
    </row>
    <row r="49" customFormat="false" ht="51" hidden="false" customHeight="true" outlineLevel="0" collapsed="false">
      <c r="A49" s="20" t="s">
        <v>395</v>
      </c>
      <c r="B49" s="21" t="s">
        <v>110</v>
      </c>
      <c r="C49" s="21" t="s">
        <v>149</v>
      </c>
      <c r="D49" s="21" t="s">
        <v>150</v>
      </c>
      <c r="E49" s="21" t="s">
        <v>75</v>
      </c>
      <c r="F49" s="21" t="s">
        <v>151</v>
      </c>
      <c r="G49" s="21" t="s">
        <v>3</v>
      </c>
      <c r="H49" s="21" t="s">
        <v>12</v>
      </c>
      <c r="I49" s="22" t="n">
        <v>46286</v>
      </c>
      <c r="J49" s="21" t="s">
        <v>396</v>
      </c>
      <c r="K49" s="21" t="s">
        <v>274</v>
      </c>
      <c r="L49" s="21" t="s">
        <v>397</v>
      </c>
      <c r="M49" s="21" t="s">
        <v>398</v>
      </c>
      <c r="N49" s="21"/>
    </row>
    <row r="50" customFormat="false" ht="25.5" hidden="false" customHeight="true" outlineLevel="0" collapsed="false">
      <c r="A50" s="20" t="s">
        <v>399</v>
      </c>
      <c r="B50" s="21" t="s">
        <v>110</v>
      </c>
      <c r="C50" s="21" t="s">
        <v>198</v>
      </c>
      <c r="D50" s="21" t="s">
        <v>400</v>
      </c>
      <c r="E50" s="21" t="s">
        <v>75</v>
      </c>
      <c r="F50" s="21" t="s">
        <v>200</v>
      </c>
      <c r="G50" s="21" t="s">
        <v>3</v>
      </c>
      <c r="H50" s="21" t="s">
        <v>12</v>
      </c>
      <c r="I50" s="22" t="n">
        <v>46286</v>
      </c>
      <c r="J50" s="21" t="s">
        <v>401</v>
      </c>
      <c r="K50" s="21" t="s">
        <v>202</v>
      </c>
      <c r="L50" s="21" t="s">
        <v>354</v>
      </c>
      <c r="M50" s="21" t="s">
        <v>399</v>
      </c>
      <c r="N50" s="21"/>
    </row>
    <row r="51" customFormat="false" ht="25.5" hidden="false" customHeight="true" outlineLevel="0" collapsed="false">
      <c r="A51" s="20" t="s">
        <v>402</v>
      </c>
      <c r="B51" s="21" t="s">
        <v>116</v>
      </c>
      <c r="C51" s="21" t="s">
        <v>403</v>
      </c>
      <c r="D51" s="21" t="s">
        <v>404</v>
      </c>
      <c r="E51" s="21" t="s">
        <v>50</v>
      </c>
      <c r="F51" s="21" t="s">
        <v>261</v>
      </c>
      <c r="G51" s="21" t="s">
        <v>3</v>
      </c>
      <c r="H51" s="21" t="s">
        <v>20</v>
      </c>
      <c r="I51" s="21"/>
      <c r="J51" s="21" t="s">
        <v>405</v>
      </c>
      <c r="K51" s="21" t="s">
        <v>406</v>
      </c>
      <c r="L51" s="21" t="s">
        <v>407</v>
      </c>
      <c r="M51" s="21" t="s">
        <v>402</v>
      </c>
      <c r="N51" s="21"/>
    </row>
    <row r="52" customFormat="false" ht="25.5" hidden="false" customHeight="true" outlineLevel="0" collapsed="false">
      <c r="A52" s="20" t="s">
        <v>408</v>
      </c>
      <c r="B52" s="21" t="s">
        <v>116</v>
      </c>
      <c r="C52" s="21" t="s">
        <v>306</v>
      </c>
      <c r="D52" s="21" t="s">
        <v>307</v>
      </c>
      <c r="E52" s="21" t="s">
        <v>50</v>
      </c>
      <c r="F52" s="21" t="s">
        <v>261</v>
      </c>
      <c r="G52" s="21" t="s">
        <v>3</v>
      </c>
      <c r="H52" s="21" t="s">
        <v>20</v>
      </c>
      <c r="I52" s="21"/>
      <c r="J52" s="21" t="s">
        <v>405</v>
      </c>
      <c r="K52" s="21" t="s">
        <v>409</v>
      </c>
      <c r="L52" s="21" t="s">
        <v>410</v>
      </c>
      <c r="M52" s="21" t="s">
        <v>408</v>
      </c>
      <c r="N52" s="21"/>
    </row>
    <row r="53" customFormat="false" ht="25.5" hidden="false" customHeight="true" outlineLevel="0" collapsed="false">
      <c r="A53" s="20" t="s">
        <v>411</v>
      </c>
      <c r="B53" s="21" t="s">
        <v>116</v>
      </c>
      <c r="C53" s="21" t="s">
        <v>412</v>
      </c>
      <c r="D53" s="21" t="s">
        <v>404</v>
      </c>
      <c r="E53" s="21" t="s">
        <v>50</v>
      </c>
      <c r="F53" s="21" t="s">
        <v>168</v>
      </c>
      <c r="G53" s="21" t="s">
        <v>3</v>
      </c>
      <c r="H53" s="21" t="s">
        <v>20</v>
      </c>
      <c r="I53" s="21"/>
      <c r="J53" s="21" t="s">
        <v>413</v>
      </c>
      <c r="K53" s="21" t="s">
        <v>414</v>
      </c>
      <c r="L53" s="21" t="s">
        <v>415</v>
      </c>
      <c r="M53" s="21" t="s">
        <v>411</v>
      </c>
      <c r="N53" s="21"/>
    </row>
    <row r="54" customFormat="false" ht="38.25" hidden="false" customHeight="true" outlineLevel="0" collapsed="false">
      <c r="A54" s="20" t="s">
        <v>416</v>
      </c>
      <c r="B54" s="21" t="s">
        <v>116</v>
      </c>
      <c r="C54" s="21" t="s">
        <v>325</v>
      </c>
      <c r="D54" s="21" t="s">
        <v>417</v>
      </c>
      <c r="E54" s="21" t="s">
        <v>50</v>
      </c>
      <c r="F54" s="21" t="s">
        <v>261</v>
      </c>
      <c r="G54" s="21" t="s">
        <v>3</v>
      </c>
      <c r="H54" s="21" t="s">
        <v>20</v>
      </c>
      <c r="I54" s="21"/>
      <c r="J54" s="21" t="s">
        <v>405</v>
      </c>
      <c r="K54" s="21" t="s">
        <v>349</v>
      </c>
      <c r="L54" s="21" t="s">
        <v>418</v>
      </c>
      <c r="M54" s="21" t="s">
        <v>416</v>
      </c>
      <c r="N54" s="21"/>
    </row>
    <row r="55" customFormat="false" ht="25.5" hidden="false" customHeight="true" outlineLevel="0" collapsed="false">
      <c r="A55" s="20" t="s">
        <v>419</v>
      </c>
      <c r="B55" s="21" t="s">
        <v>116</v>
      </c>
      <c r="C55" s="21" t="s">
        <v>339</v>
      </c>
      <c r="D55" s="21" t="s">
        <v>420</v>
      </c>
      <c r="E55" s="21" t="s">
        <v>50</v>
      </c>
      <c r="F55" s="21" t="s">
        <v>200</v>
      </c>
      <c r="G55" s="21" t="s">
        <v>3</v>
      </c>
      <c r="H55" s="21" t="s">
        <v>20</v>
      </c>
      <c r="I55" s="21"/>
      <c r="J55" s="21" t="s">
        <v>405</v>
      </c>
      <c r="K55" s="21" t="s">
        <v>342</v>
      </c>
      <c r="L55" s="21" t="s">
        <v>354</v>
      </c>
      <c r="M55" s="21" t="s">
        <v>419</v>
      </c>
      <c r="N55" s="21"/>
    </row>
    <row r="56" customFormat="false" ht="25.5" hidden="false" customHeight="true" outlineLevel="0" collapsed="false">
      <c r="A56" s="20" t="s">
        <v>421</v>
      </c>
      <c r="B56" s="21" t="s">
        <v>122</v>
      </c>
      <c r="C56" s="21" t="s">
        <v>166</v>
      </c>
      <c r="D56" s="21" t="s">
        <v>167</v>
      </c>
      <c r="E56" s="21" t="s">
        <v>124</v>
      </c>
      <c r="F56" s="21" t="s">
        <v>261</v>
      </c>
      <c r="G56" s="21" t="s">
        <v>3</v>
      </c>
      <c r="H56" s="21" t="s">
        <v>20</v>
      </c>
      <c r="I56" s="21"/>
      <c r="J56" s="21" t="s">
        <v>422</v>
      </c>
      <c r="K56" s="21" t="s">
        <v>170</v>
      </c>
      <c r="L56" s="21" t="s">
        <v>423</v>
      </c>
      <c r="M56" s="21" t="s">
        <v>421</v>
      </c>
      <c r="N56" s="21"/>
    </row>
    <row r="57" customFormat="false" ht="15" hidden="false" customHeight="true" outlineLevel="0" collapsed="false">
      <c r="A57" s="20" t="s">
        <v>424</v>
      </c>
      <c r="B57" s="21" t="s">
        <v>122</v>
      </c>
      <c r="C57" s="21" t="s">
        <v>425</v>
      </c>
      <c r="D57" s="21" t="s">
        <v>426</v>
      </c>
      <c r="E57" s="21" t="s">
        <v>124</v>
      </c>
      <c r="F57" s="21" t="s">
        <v>261</v>
      </c>
      <c r="G57" s="21" t="s">
        <v>3</v>
      </c>
      <c r="H57" s="21" t="s">
        <v>20</v>
      </c>
      <c r="I57" s="21"/>
      <c r="J57" s="21" t="s">
        <v>422</v>
      </c>
      <c r="K57" s="21" t="s">
        <v>427</v>
      </c>
      <c r="L57" s="21" t="s">
        <v>428</v>
      </c>
      <c r="M57" s="21" t="s">
        <v>424</v>
      </c>
      <c r="N57" s="21"/>
    </row>
    <row r="58" customFormat="false" ht="25.5" hidden="false" customHeight="true" outlineLevel="0" collapsed="false">
      <c r="A58" s="20" t="s">
        <v>429</v>
      </c>
      <c r="B58" s="21" t="s">
        <v>122</v>
      </c>
      <c r="C58" s="21" t="s">
        <v>430</v>
      </c>
      <c r="D58" s="21" t="s">
        <v>431</v>
      </c>
      <c r="E58" s="21" t="s">
        <v>124</v>
      </c>
      <c r="F58" s="21" t="s">
        <v>261</v>
      </c>
      <c r="G58" s="21" t="s">
        <v>3</v>
      </c>
      <c r="H58" s="21" t="s">
        <v>20</v>
      </c>
      <c r="I58" s="21"/>
      <c r="J58" s="21" t="s">
        <v>422</v>
      </c>
      <c r="K58" s="21" t="s">
        <v>432</v>
      </c>
      <c r="L58" s="21" t="s">
        <v>433</v>
      </c>
      <c r="M58" s="21" t="s">
        <v>429</v>
      </c>
      <c r="N58" s="21"/>
    </row>
    <row r="59" customFormat="false" ht="25.5" hidden="false" customHeight="true" outlineLevel="0" collapsed="false">
      <c r="A59" s="20" t="s">
        <v>434</v>
      </c>
      <c r="B59" s="21" t="s">
        <v>122</v>
      </c>
      <c r="C59" s="21" t="s">
        <v>198</v>
      </c>
      <c r="D59" s="21" t="s">
        <v>435</v>
      </c>
      <c r="E59" s="21" t="s">
        <v>124</v>
      </c>
      <c r="F59" s="21" t="s">
        <v>200</v>
      </c>
      <c r="G59" s="21" t="s">
        <v>3</v>
      </c>
      <c r="H59" s="21" t="s">
        <v>20</v>
      </c>
      <c r="I59" s="21"/>
      <c r="J59" s="21" t="s">
        <v>422</v>
      </c>
      <c r="K59" s="21" t="s">
        <v>202</v>
      </c>
      <c r="L59" s="21" t="s">
        <v>354</v>
      </c>
      <c r="M59" s="21" t="s">
        <v>434</v>
      </c>
      <c r="N59" s="21"/>
    </row>
    <row r="60" customFormat="false" ht="25.5" hidden="false" customHeight="true" outlineLevel="0" collapsed="false">
      <c r="A60" s="20" t="s">
        <v>436</v>
      </c>
      <c r="B60" s="21" t="s">
        <v>129</v>
      </c>
      <c r="C60" s="21" t="s">
        <v>437</v>
      </c>
      <c r="D60" s="21" t="s">
        <v>438</v>
      </c>
      <c r="E60" s="21" t="s">
        <v>75</v>
      </c>
      <c r="F60" s="21" t="s">
        <v>168</v>
      </c>
      <c r="G60" s="21" t="s">
        <v>3</v>
      </c>
      <c r="H60" s="21" t="s">
        <v>22</v>
      </c>
      <c r="I60" s="21"/>
      <c r="J60" s="21" t="s">
        <v>439</v>
      </c>
      <c r="K60" s="21" t="s">
        <v>100</v>
      </c>
      <c r="L60" s="21" t="s">
        <v>440</v>
      </c>
      <c r="M60" s="21" t="s">
        <v>436</v>
      </c>
      <c r="N60" s="21"/>
    </row>
    <row r="61" customFormat="false" ht="25.5" hidden="false" customHeight="true" outlineLevel="0" collapsed="false">
      <c r="A61" s="20" t="s">
        <v>441</v>
      </c>
      <c r="B61" s="21" t="s">
        <v>129</v>
      </c>
      <c r="C61" s="21" t="s">
        <v>166</v>
      </c>
      <c r="D61" s="21" t="s">
        <v>167</v>
      </c>
      <c r="E61" s="21" t="s">
        <v>75</v>
      </c>
      <c r="F61" s="21" t="s">
        <v>168</v>
      </c>
      <c r="G61" s="21" t="s">
        <v>3</v>
      </c>
      <c r="H61" s="21" t="s">
        <v>22</v>
      </c>
      <c r="I61" s="21"/>
      <c r="J61" s="21" t="s">
        <v>439</v>
      </c>
      <c r="K61" s="21" t="s">
        <v>100</v>
      </c>
      <c r="L61" s="21" t="s">
        <v>442</v>
      </c>
      <c r="M61" s="21" t="s">
        <v>441</v>
      </c>
      <c r="N61" s="21"/>
    </row>
    <row r="62" customFormat="false" ht="25.5" hidden="false" customHeight="true" outlineLevel="0" collapsed="false">
      <c r="A62" s="20" t="s">
        <v>443</v>
      </c>
      <c r="B62" s="21" t="s">
        <v>129</v>
      </c>
      <c r="C62" s="21" t="s">
        <v>444</v>
      </c>
      <c r="D62" s="21" t="s">
        <v>445</v>
      </c>
      <c r="E62" s="21" t="s">
        <v>75</v>
      </c>
      <c r="F62" s="21" t="s">
        <v>168</v>
      </c>
      <c r="G62" s="21" t="s">
        <v>3</v>
      </c>
      <c r="H62" s="21" t="s">
        <v>22</v>
      </c>
      <c r="I62" s="21"/>
      <c r="J62" s="21" t="s">
        <v>439</v>
      </c>
      <c r="K62" s="21" t="s">
        <v>100</v>
      </c>
      <c r="L62" s="21" t="s">
        <v>446</v>
      </c>
      <c r="M62" s="21" t="s">
        <v>443</v>
      </c>
      <c r="N62" s="21"/>
    </row>
    <row r="63" customFormat="false" ht="51" hidden="false" customHeight="true" outlineLevel="0" collapsed="false">
      <c r="A63" s="20" t="s">
        <v>447</v>
      </c>
      <c r="B63" s="21" t="s">
        <v>82</v>
      </c>
      <c r="C63" s="21" t="s">
        <v>448</v>
      </c>
      <c r="D63" s="21" t="s">
        <v>449</v>
      </c>
      <c r="E63" s="21" t="s">
        <v>50</v>
      </c>
      <c r="F63" s="21" t="s">
        <v>261</v>
      </c>
      <c r="G63" s="21" t="s">
        <v>3</v>
      </c>
      <c r="H63" s="21" t="s">
        <v>15</v>
      </c>
      <c r="I63" s="22"/>
      <c r="J63" s="21" t="s">
        <v>450</v>
      </c>
      <c r="K63" s="21" t="s">
        <v>451</v>
      </c>
      <c r="L63" s="21" t="s">
        <v>452</v>
      </c>
      <c r="M63" s="21" t="s">
        <v>453</v>
      </c>
      <c r="N63" s="21" t="s">
        <v>454</v>
      </c>
    </row>
    <row r="64" customFormat="false" ht="25.5" hidden="false" customHeight="true" outlineLevel="0" collapsed="false">
      <c r="A64" s="20" t="s">
        <v>455</v>
      </c>
      <c r="B64" s="21" t="s">
        <v>134</v>
      </c>
      <c r="C64" s="21" t="s">
        <v>166</v>
      </c>
      <c r="D64" s="21" t="s">
        <v>167</v>
      </c>
      <c r="E64" s="21"/>
      <c r="F64" s="21"/>
      <c r="G64" s="21" t="s">
        <v>3</v>
      </c>
      <c r="H64" s="21" t="s">
        <v>12</v>
      </c>
      <c r="I64" s="22" t="n">
        <v>46286</v>
      </c>
      <c r="J64" s="21" t="s">
        <v>456</v>
      </c>
      <c r="K64" s="21" t="s">
        <v>170</v>
      </c>
      <c r="L64" s="21" t="s">
        <v>457</v>
      </c>
      <c r="M64" s="21" t="s">
        <v>458</v>
      </c>
      <c r="N64" s="21"/>
    </row>
    <row r="65" customFormat="false" ht="25.5" hidden="false" customHeight="true" outlineLevel="0" collapsed="false">
      <c r="A65" s="20" t="s">
        <v>459</v>
      </c>
      <c r="B65" s="21" t="s">
        <v>134</v>
      </c>
      <c r="C65" s="21" t="s">
        <v>384</v>
      </c>
      <c r="D65" s="21" t="s">
        <v>385</v>
      </c>
      <c r="E65" s="21"/>
      <c r="F65" s="21"/>
      <c r="G65" s="21" t="s">
        <v>3</v>
      </c>
      <c r="H65" s="21" t="s">
        <v>12</v>
      </c>
      <c r="I65" s="22" t="n">
        <v>46286</v>
      </c>
      <c r="J65" s="21" t="s">
        <v>460</v>
      </c>
      <c r="K65" s="21" t="s">
        <v>461</v>
      </c>
      <c r="L65" s="21" t="s">
        <v>462</v>
      </c>
      <c r="M65" s="21" t="s">
        <v>463</v>
      </c>
      <c r="N65" s="21"/>
    </row>
    <row r="66" customFormat="false" ht="15" hidden="false" customHeight="true" outlineLevel="0" collapsed="false">
      <c r="A66" s="20" t="s">
        <v>464</v>
      </c>
      <c r="B66" s="21" t="s">
        <v>134</v>
      </c>
      <c r="C66" s="21" t="s">
        <v>465</v>
      </c>
      <c r="D66" s="21" t="s">
        <v>466</v>
      </c>
      <c r="E66" s="21"/>
      <c r="F66" s="21"/>
      <c r="G66" s="21" t="s">
        <v>3</v>
      </c>
      <c r="H66" s="21" t="s">
        <v>12</v>
      </c>
      <c r="I66" s="22" t="n">
        <v>46286</v>
      </c>
      <c r="J66" s="21" t="s">
        <v>467</v>
      </c>
      <c r="K66" s="21" t="s">
        <v>468</v>
      </c>
      <c r="L66" s="21" t="s">
        <v>469</v>
      </c>
      <c r="M66" s="21" t="s">
        <v>470</v>
      </c>
      <c r="N66" s="21"/>
    </row>
    <row r="67" customFormat="false" ht="15" hidden="false" customHeight="true" outlineLevel="0" collapsed="false">
      <c r="A67" s="20" t="s">
        <v>471</v>
      </c>
      <c r="B67" s="21" t="s">
        <v>134</v>
      </c>
      <c r="C67" s="21" t="s">
        <v>472</v>
      </c>
      <c r="D67" s="21" t="s">
        <v>473</v>
      </c>
      <c r="E67" s="21"/>
      <c r="F67" s="21"/>
      <c r="G67" s="21" t="s">
        <v>3</v>
      </c>
      <c r="H67" s="21" t="s">
        <v>12</v>
      </c>
      <c r="I67" s="22" t="n">
        <v>46286</v>
      </c>
      <c r="J67" s="21" t="s">
        <v>474</v>
      </c>
      <c r="K67" s="21" t="s">
        <v>475</v>
      </c>
      <c r="L67" s="21" t="s">
        <v>476</v>
      </c>
      <c r="M67" s="21" t="s">
        <v>477</v>
      </c>
      <c r="N67" s="21"/>
    </row>
    <row r="68" customFormat="false" ht="51" hidden="false" customHeight="true" outlineLevel="0" collapsed="false">
      <c r="A68" s="20" t="s">
        <v>478</v>
      </c>
      <c r="B68" s="21" t="s">
        <v>134</v>
      </c>
      <c r="C68" s="21" t="s">
        <v>149</v>
      </c>
      <c r="D68" s="21" t="s">
        <v>150</v>
      </c>
      <c r="E68" s="21"/>
      <c r="F68" s="21"/>
      <c r="G68" s="21" t="s">
        <v>3</v>
      </c>
      <c r="H68" s="21" t="s">
        <v>12</v>
      </c>
      <c r="I68" s="22" t="n">
        <v>46286</v>
      </c>
      <c r="J68" s="21" t="s">
        <v>479</v>
      </c>
      <c r="K68" s="21" t="s">
        <v>274</v>
      </c>
      <c r="L68" s="21" t="s">
        <v>480</v>
      </c>
      <c r="M68" s="21" t="s">
        <v>481</v>
      </c>
      <c r="N68" s="21"/>
    </row>
    <row r="69" customFormat="false" ht="25.5" hidden="false" customHeight="true" outlineLevel="0" collapsed="false">
      <c r="A69" s="20" t="s">
        <v>482</v>
      </c>
      <c r="B69" s="21" t="s">
        <v>134</v>
      </c>
      <c r="C69" s="21" t="s">
        <v>198</v>
      </c>
      <c r="D69" s="21" t="s">
        <v>483</v>
      </c>
      <c r="E69" s="21"/>
      <c r="F69" s="21"/>
      <c r="G69" s="21" t="s">
        <v>3</v>
      </c>
      <c r="H69" s="21" t="s">
        <v>12</v>
      </c>
      <c r="I69" s="22" t="n">
        <v>46286</v>
      </c>
      <c r="J69" s="21" t="s">
        <v>484</v>
      </c>
      <c r="K69" s="21" t="s">
        <v>202</v>
      </c>
      <c r="L69" s="21" t="s">
        <v>354</v>
      </c>
      <c r="M69" s="21" t="s">
        <v>485</v>
      </c>
      <c r="N69" s="21"/>
    </row>
    <row r="70" customFormat="false" ht="25.5" hidden="false" customHeight="true" outlineLevel="0" collapsed="false">
      <c r="A70" s="20" t="s">
        <v>486</v>
      </c>
      <c r="B70" s="21" t="s">
        <v>487</v>
      </c>
      <c r="C70" s="21" t="s">
        <v>488</v>
      </c>
      <c r="D70" s="21" t="s">
        <v>489</v>
      </c>
      <c r="E70" s="21" t="s">
        <v>490</v>
      </c>
      <c r="F70" s="21"/>
      <c r="G70" s="21" t="s">
        <v>491</v>
      </c>
      <c r="H70" s="21" t="s">
        <v>18</v>
      </c>
      <c r="I70" s="21"/>
      <c r="J70" s="21" t="s">
        <v>492</v>
      </c>
      <c r="K70" s="21" t="s">
        <v>493</v>
      </c>
      <c r="L70" s="21" t="s">
        <v>494</v>
      </c>
      <c r="M70" s="21" t="s">
        <v>495</v>
      </c>
      <c r="N70" s="21" t="s">
        <v>496</v>
      </c>
    </row>
    <row r="71" customFormat="false" ht="25.5" hidden="false" customHeight="true" outlineLevel="0" collapsed="false">
      <c r="A71" s="20" t="s">
        <v>497</v>
      </c>
      <c r="B71" s="21" t="s">
        <v>487</v>
      </c>
      <c r="C71" s="21" t="s">
        <v>498</v>
      </c>
      <c r="D71" s="21" t="s">
        <v>499</v>
      </c>
      <c r="E71" s="21" t="s">
        <v>490</v>
      </c>
      <c r="F71" s="21"/>
      <c r="G71" s="21" t="s">
        <v>491</v>
      </c>
      <c r="H71" s="21" t="s">
        <v>18</v>
      </c>
      <c r="I71" s="21"/>
      <c r="J71" s="21" t="s">
        <v>500</v>
      </c>
      <c r="K71" s="21" t="s">
        <v>501</v>
      </c>
      <c r="L71" s="21" t="s">
        <v>502</v>
      </c>
      <c r="M71" s="21" t="s">
        <v>495</v>
      </c>
      <c r="N71" s="21"/>
    </row>
    <row r="72" customFormat="false" ht="25.5" hidden="false" customHeight="true" outlineLevel="0" collapsed="false">
      <c r="A72" s="20" t="s">
        <v>503</v>
      </c>
      <c r="B72" s="21" t="s">
        <v>487</v>
      </c>
      <c r="C72" s="21" t="s">
        <v>198</v>
      </c>
      <c r="D72" s="21" t="s">
        <v>504</v>
      </c>
      <c r="E72" s="21" t="s">
        <v>490</v>
      </c>
      <c r="F72" s="21"/>
      <c r="G72" s="21" t="s">
        <v>491</v>
      </c>
      <c r="H72" s="21" t="s">
        <v>18</v>
      </c>
      <c r="I72" s="21"/>
      <c r="J72" s="21" t="s">
        <v>505</v>
      </c>
      <c r="K72" s="21" t="s">
        <v>506</v>
      </c>
      <c r="L72" s="21" t="s">
        <v>507</v>
      </c>
      <c r="M72" s="21" t="s">
        <v>495</v>
      </c>
      <c r="N72" s="21"/>
    </row>
    <row r="73" customFormat="false" ht="25.5" hidden="false" customHeight="true" outlineLevel="0" collapsed="false">
      <c r="A73" s="20" t="s">
        <v>508</v>
      </c>
      <c r="B73" s="21" t="s">
        <v>47</v>
      </c>
      <c r="C73" s="21" t="s">
        <v>509</v>
      </c>
      <c r="D73" s="21" t="s">
        <v>510</v>
      </c>
      <c r="E73" s="21" t="s">
        <v>490</v>
      </c>
      <c r="F73" s="21"/>
      <c r="G73" s="21" t="s">
        <v>7</v>
      </c>
      <c r="H73" s="21" t="s">
        <v>18</v>
      </c>
      <c r="I73" s="21"/>
      <c r="J73" s="21" t="s">
        <v>511</v>
      </c>
      <c r="K73" s="21" t="s">
        <v>512</v>
      </c>
      <c r="L73" s="21" t="s">
        <v>513</v>
      </c>
      <c r="M73" s="21" t="s">
        <v>47</v>
      </c>
      <c r="N73" s="21"/>
    </row>
    <row r="74" customFormat="false" ht="25.5" hidden="false" customHeight="true" outlineLevel="0" collapsed="false">
      <c r="A74" s="20" t="s">
        <v>514</v>
      </c>
      <c r="B74" s="21" t="s">
        <v>47</v>
      </c>
      <c r="C74" s="21" t="s">
        <v>515</v>
      </c>
      <c r="D74" s="21" t="s">
        <v>516</v>
      </c>
      <c r="E74" s="21" t="s">
        <v>490</v>
      </c>
      <c r="F74" s="21"/>
      <c r="G74" s="21" t="s">
        <v>7</v>
      </c>
      <c r="H74" s="21" t="s">
        <v>18</v>
      </c>
      <c r="I74" s="21"/>
      <c r="J74" s="21" t="s">
        <v>517</v>
      </c>
      <c r="K74" s="21" t="s">
        <v>518</v>
      </c>
      <c r="L74" s="21" t="s">
        <v>519</v>
      </c>
      <c r="M74" s="21" t="s">
        <v>47</v>
      </c>
      <c r="N74" s="21"/>
    </row>
    <row r="75" customFormat="false" ht="25.5" hidden="false" customHeight="true" outlineLevel="0" collapsed="false">
      <c r="A75" s="20" t="s">
        <v>520</v>
      </c>
      <c r="B75" s="21" t="s">
        <v>47</v>
      </c>
      <c r="C75" s="21" t="s">
        <v>521</v>
      </c>
      <c r="D75" s="21" t="s">
        <v>522</v>
      </c>
      <c r="E75" s="21" t="s">
        <v>490</v>
      </c>
      <c r="F75" s="21"/>
      <c r="G75" s="21" t="s">
        <v>7</v>
      </c>
      <c r="H75" s="21" t="s">
        <v>18</v>
      </c>
      <c r="I75" s="21"/>
      <c r="J75" s="21" t="s">
        <v>523</v>
      </c>
      <c r="K75" s="21" t="s">
        <v>524</v>
      </c>
      <c r="L75" s="21" t="s">
        <v>525</v>
      </c>
      <c r="M75" s="21" t="s">
        <v>47</v>
      </c>
      <c r="N75" s="21"/>
    </row>
    <row r="76" customFormat="false" ht="25.5" hidden="false" customHeight="true" outlineLevel="0" collapsed="false">
      <c r="A76" s="20" t="s">
        <v>526</v>
      </c>
      <c r="B76" s="21" t="s">
        <v>47</v>
      </c>
      <c r="C76" s="21" t="s">
        <v>527</v>
      </c>
      <c r="D76" s="21" t="s">
        <v>528</v>
      </c>
      <c r="E76" s="21" t="s">
        <v>529</v>
      </c>
      <c r="F76" s="21"/>
      <c r="G76" s="21" t="s">
        <v>7</v>
      </c>
      <c r="H76" s="21" t="s">
        <v>18</v>
      </c>
      <c r="I76" s="21"/>
      <c r="J76" s="21" t="s">
        <v>530</v>
      </c>
      <c r="K76" s="21" t="s">
        <v>531</v>
      </c>
      <c r="L76" s="21" t="s">
        <v>532</v>
      </c>
      <c r="M76" s="21" t="s">
        <v>47</v>
      </c>
      <c r="N76" s="21"/>
    </row>
    <row r="77" customFormat="false" ht="25.5" hidden="false" customHeight="true" outlineLevel="0" collapsed="false">
      <c r="A77" s="20" t="s">
        <v>533</v>
      </c>
      <c r="B77" s="21" t="s">
        <v>534</v>
      </c>
      <c r="C77" s="21" t="s">
        <v>535</v>
      </c>
      <c r="D77" s="21" t="s">
        <v>516</v>
      </c>
      <c r="E77" s="21" t="s">
        <v>490</v>
      </c>
      <c r="F77" s="21"/>
      <c r="G77" s="21" t="s">
        <v>3</v>
      </c>
      <c r="H77" s="21" t="s">
        <v>18</v>
      </c>
      <c r="I77" s="21"/>
      <c r="J77" s="21" t="s">
        <v>536</v>
      </c>
      <c r="K77" s="21" t="s">
        <v>537</v>
      </c>
      <c r="L77" s="21" t="s">
        <v>538</v>
      </c>
      <c r="M77" s="21" t="s">
        <v>539</v>
      </c>
      <c r="N77" s="21"/>
    </row>
  </sheetData>
  <autoFilter ref="A4:N69"/>
  <mergeCells count="2">
    <mergeCell ref="A1:N1"/>
    <mergeCell ref="A2:N2"/>
  </mergeCells>
  <conditionalFormatting sqref="A5:N69">
    <cfRule type="expression" priority="2" aboveAverage="0" equalAverage="0" bottom="0" percent="0" rank="0" text="" dxfId="6">
      <formula>$H5="Built"</formula>
    </cfRule>
    <cfRule type="expression" priority="3" aboveAverage="0" equalAverage="0" bottom="0" percent="0" rank="0" text="" dxfId="7">
      <formula>$H5="Verify"</formula>
    </cfRule>
    <cfRule type="expression" priority="4" aboveAverage="0" equalAverage="0" bottom="0" percent="0" rank="0" text="" dxfId="8">
      <formula>$H5="To build"</formula>
    </cfRule>
    <cfRule type="expression" priority="5" aboveAverage="0" equalAverage="0" bottom="0" percent="0" rank="0" text="" dxfId="9">
      <formula>$H5="Deferred"</formula>
    </cfRule>
    <cfRule type="expression" priority="6" aboveAverage="0" equalAverage="0" bottom="0" percent="0" rank="0" text="" dxfId="9">
      <formula>$H5="Closed"</formula>
    </cfRule>
  </conditionalFormatting>
  <dataValidations count="1">
    <dataValidation allowBlank="false" errorStyle="stop" operator="between" showDropDown="false" showErrorMessage="false" showInputMessage="false" sqref="H5:H69" type="list">
      <formula1>"Built,Verify,To build,Deferred,Closed"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10"/>
    <col collapsed="false" customWidth="true" hidden="false" outlineLevel="0" max="4" min="4" style="1" width="18"/>
    <col collapsed="false" customWidth="true" hidden="false" outlineLevel="0" max="5" min="5" style="1" width="10"/>
    <col collapsed="false" customWidth="true" hidden="false" outlineLevel="0" max="6" min="6" style="1" width="12"/>
    <col collapsed="false" customWidth="true" hidden="false" outlineLevel="0" max="7" min="7" style="1" width="60"/>
    <col collapsed="false" customWidth="true" hidden="false" outlineLevel="0" max="8" min="8" style="1" width="40"/>
    <col collapsed="false" customWidth="true" hidden="false" outlineLevel="0" max="9" min="9" style="1" width="14"/>
    <col collapsed="false" customWidth="true" hidden="false" outlineLevel="0" max="10" min="10" style="1" width="42"/>
  </cols>
  <sheetData>
    <row r="1" customFormat="false" ht="25.5" hidden="false" customHeight="true" outlineLevel="0" collapsed="false">
      <c r="A1" s="2" t="s">
        <v>32</v>
      </c>
      <c r="B1" s="2"/>
      <c r="C1" s="2"/>
      <c r="D1" s="2"/>
      <c r="E1" s="2"/>
      <c r="F1" s="2"/>
      <c r="G1" s="2"/>
      <c r="H1" s="2"/>
      <c r="I1" s="2"/>
      <c r="J1" s="2"/>
    </row>
    <row r="2" customFormat="false" ht="30" hidden="false" customHeight="true" outlineLevel="0" collapsed="false">
      <c r="A2" s="5" t="s">
        <v>540</v>
      </c>
      <c r="B2" s="5"/>
      <c r="C2" s="5"/>
      <c r="D2" s="5"/>
      <c r="E2" s="5"/>
      <c r="F2" s="5"/>
      <c r="G2" s="5"/>
      <c r="H2" s="5"/>
      <c r="I2" s="5"/>
      <c r="J2" s="5"/>
    </row>
    <row r="4" customFormat="false" ht="30" hidden="false" customHeight="true" outlineLevel="0" collapsed="false">
      <c r="A4" s="19" t="s">
        <v>36</v>
      </c>
      <c r="B4" s="19" t="s">
        <v>541</v>
      </c>
      <c r="C4" s="19" t="s">
        <v>39</v>
      </c>
      <c r="D4" s="19" t="s">
        <v>40</v>
      </c>
      <c r="E4" s="19" t="s">
        <v>29</v>
      </c>
      <c r="F4" s="19" t="s">
        <v>41</v>
      </c>
      <c r="G4" s="19" t="s">
        <v>542</v>
      </c>
      <c r="H4" s="19" t="s">
        <v>543</v>
      </c>
      <c r="I4" s="19" t="s">
        <v>45</v>
      </c>
      <c r="J4" s="19" t="s">
        <v>46</v>
      </c>
    </row>
    <row r="5" customFormat="false" ht="63.75" hidden="false" customHeight="true" outlineLevel="0" collapsed="false">
      <c r="A5" s="20" t="s">
        <v>544</v>
      </c>
      <c r="B5" s="21" t="s">
        <v>545</v>
      </c>
      <c r="C5" s="21" t="s">
        <v>50</v>
      </c>
      <c r="D5" s="21" t="s">
        <v>3</v>
      </c>
      <c r="E5" s="21" t="s">
        <v>18</v>
      </c>
      <c r="F5" s="22"/>
      <c r="G5" s="21" t="s">
        <v>546</v>
      </c>
      <c r="H5" s="21" t="s">
        <v>547</v>
      </c>
      <c r="I5" s="21" t="s">
        <v>544</v>
      </c>
      <c r="J5" s="21"/>
    </row>
    <row r="6" customFormat="false" ht="15" hidden="false" customHeight="true" outlineLevel="0" collapsed="false">
      <c r="A6" s="20" t="s">
        <v>548</v>
      </c>
      <c r="B6" s="21" t="s">
        <v>549</v>
      </c>
      <c r="C6" s="21" t="s">
        <v>50</v>
      </c>
      <c r="D6" s="21" t="s">
        <v>3</v>
      </c>
      <c r="E6" s="21" t="s">
        <v>22</v>
      </c>
      <c r="F6" s="21"/>
      <c r="G6" s="21" t="s">
        <v>550</v>
      </c>
      <c r="H6" s="21" t="s">
        <v>551</v>
      </c>
      <c r="I6" s="21" t="s">
        <v>552</v>
      </c>
      <c r="J6" s="21" t="s">
        <v>553</v>
      </c>
    </row>
    <row r="7" customFormat="false" ht="25.5" hidden="false" customHeight="true" outlineLevel="0" collapsed="false">
      <c r="A7" s="20" t="s">
        <v>554</v>
      </c>
      <c r="B7" s="21" t="s">
        <v>555</v>
      </c>
      <c r="C7" s="21" t="s">
        <v>50</v>
      </c>
      <c r="D7" s="21" t="s">
        <v>3</v>
      </c>
      <c r="E7" s="21" t="s">
        <v>15</v>
      </c>
      <c r="F7" s="22"/>
      <c r="G7" s="21" t="s">
        <v>556</v>
      </c>
      <c r="H7" s="21" t="s">
        <v>557</v>
      </c>
      <c r="I7" s="21" t="s">
        <v>558</v>
      </c>
      <c r="J7" s="21" t="s">
        <v>559</v>
      </c>
    </row>
    <row r="8" customFormat="false" ht="15" hidden="false" customHeight="true" outlineLevel="0" collapsed="false">
      <c r="A8" s="20" t="s">
        <v>560</v>
      </c>
      <c r="B8" s="21" t="s">
        <v>561</v>
      </c>
      <c r="C8" s="21" t="s">
        <v>50</v>
      </c>
      <c r="D8" s="21" t="s">
        <v>3</v>
      </c>
      <c r="E8" s="21" t="s">
        <v>20</v>
      </c>
      <c r="F8" s="21"/>
      <c r="G8" s="21" t="s">
        <v>562</v>
      </c>
      <c r="H8" s="21" t="s">
        <v>563</v>
      </c>
      <c r="I8" s="21" t="s">
        <v>560</v>
      </c>
      <c r="J8" s="21"/>
    </row>
    <row r="9" customFormat="false" ht="25.5" hidden="false" customHeight="true" outlineLevel="0" collapsed="false">
      <c r="A9" s="20" t="s">
        <v>564</v>
      </c>
      <c r="B9" s="21" t="s">
        <v>565</v>
      </c>
      <c r="C9" s="21" t="s">
        <v>75</v>
      </c>
      <c r="D9" s="21" t="s">
        <v>3</v>
      </c>
      <c r="E9" s="21" t="s">
        <v>22</v>
      </c>
      <c r="F9" s="21"/>
      <c r="G9" s="21" t="s">
        <v>566</v>
      </c>
      <c r="H9" s="21" t="s">
        <v>100</v>
      </c>
      <c r="I9" s="21" t="s">
        <v>564</v>
      </c>
      <c r="J9" s="21" t="s">
        <v>567</v>
      </c>
    </row>
    <row r="10" customFormat="false" ht="25.5" hidden="false" customHeight="true" outlineLevel="0" collapsed="false">
      <c r="A10" s="20" t="s">
        <v>568</v>
      </c>
      <c r="B10" s="21" t="s">
        <v>569</v>
      </c>
      <c r="C10" s="21" t="s">
        <v>75</v>
      </c>
      <c r="D10" s="21" t="s">
        <v>3</v>
      </c>
      <c r="E10" s="21" t="s">
        <v>22</v>
      </c>
      <c r="F10" s="21"/>
      <c r="G10" s="21" t="s">
        <v>570</v>
      </c>
      <c r="H10" s="21" t="s">
        <v>100</v>
      </c>
      <c r="I10" s="21" t="s">
        <v>571</v>
      </c>
      <c r="J10" s="21"/>
    </row>
    <row r="11" customFormat="false" ht="25.5" hidden="false" customHeight="true" outlineLevel="0" collapsed="false">
      <c r="A11" s="20" t="s">
        <v>572</v>
      </c>
      <c r="B11" s="21" t="s">
        <v>573</v>
      </c>
      <c r="C11" s="21" t="s">
        <v>75</v>
      </c>
      <c r="D11" s="21" t="s">
        <v>3</v>
      </c>
      <c r="E11" s="21" t="s">
        <v>22</v>
      </c>
      <c r="F11" s="21"/>
      <c r="G11" s="21" t="s">
        <v>574</v>
      </c>
      <c r="H11" s="21" t="s">
        <v>575</v>
      </c>
      <c r="I11" s="21" t="s">
        <v>572</v>
      </c>
      <c r="J11" s="21" t="s">
        <v>576</v>
      </c>
    </row>
    <row r="12" customFormat="false" ht="51" hidden="false" customHeight="true" outlineLevel="0" collapsed="false">
      <c r="A12" s="20" t="s">
        <v>577</v>
      </c>
      <c r="B12" s="21" t="s">
        <v>578</v>
      </c>
      <c r="C12" s="21" t="s">
        <v>75</v>
      </c>
      <c r="D12" s="21" t="s">
        <v>579</v>
      </c>
      <c r="E12" s="21" t="s">
        <v>18</v>
      </c>
      <c r="F12" s="21"/>
      <c r="G12" s="21" t="s">
        <v>580</v>
      </c>
      <c r="H12" s="21" t="s">
        <v>581</v>
      </c>
      <c r="I12" s="21" t="s">
        <v>582</v>
      </c>
      <c r="J12" s="21" t="s">
        <v>583</v>
      </c>
    </row>
    <row r="13" customFormat="false" ht="38.25" hidden="false" customHeight="true" outlineLevel="0" collapsed="false">
      <c r="A13" s="20" t="s">
        <v>584</v>
      </c>
      <c r="B13" s="21" t="s">
        <v>585</v>
      </c>
      <c r="C13" s="21" t="s">
        <v>75</v>
      </c>
      <c r="D13" s="21" t="s">
        <v>586</v>
      </c>
      <c r="E13" s="21" t="s">
        <v>18</v>
      </c>
      <c r="F13" s="22"/>
      <c r="G13" s="21" t="s">
        <v>587</v>
      </c>
      <c r="H13" s="21" t="s">
        <v>588</v>
      </c>
      <c r="I13" s="21" t="s">
        <v>589</v>
      </c>
      <c r="J13" s="21" t="s">
        <v>590</v>
      </c>
    </row>
  </sheetData>
  <autoFilter ref="A4:J13"/>
  <mergeCells count="2">
    <mergeCell ref="A1:J1"/>
    <mergeCell ref="A2:J2"/>
  </mergeCells>
  <conditionalFormatting sqref="A5:J13">
    <cfRule type="expression" priority="2" aboveAverage="0" equalAverage="0" bottom="0" percent="0" rank="0" text="" dxfId="6">
      <formula>$E5="Built"</formula>
    </cfRule>
    <cfRule type="expression" priority="3" aboveAverage="0" equalAverage="0" bottom="0" percent="0" rank="0" text="" dxfId="7">
      <formula>$E5="Verify"</formula>
    </cfRule>
    <cfRule type="expression" priority="4" aboveAverage="0" equalAverage="0" bottom="0" percent="0" rank="0" text="" dxfId="8">
      <formula>$E5="To build"</formula>
    </cfRule>
    <cfRule type="expression" priority="5" aboveAverage="0" equalAverage="0" bottom="0" percent="0" rank="0" text="" dxfId="9">
      <formula>$E5="Deferred"</formula>
    </cfRule>
    <cfRule type="expression" priority="6" aboveAverage="0" equalAverage="0" bottom="0" percent="0" rank="0" text="" dxfId="9">
      <formula>$E5="Closed"</formula>
    </cfRule>
  </conditionalFormatting>
  <dataValidations count="1">
    <dataValidation allowBlank="false" errorStyle="stop" operator="between" showDropDown="false" showErrorMessage="false" showInputMessage="false" sqref="E5:E13" type="list">
      <formula1>"Built,Verify,To build,Deferred,Closed"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17" activePane="bottomRight" state="frozen"/>
      <selection pane="topLeft" activeCell="A1" activeCellId="0" sqref="A1"/>
      <selection pane="topRight" activeCell="C1" activeCellId="0" sqref="C1"/>
      <selection pane="bottomLeft" activeCell="A17" activeCellId="0" sqref="A17"/>
      <selection pane="bottomRight" activeCell="D18" activeCellId="0" sqref="D18"/>
    </sheetView>
  </sheetViews>
  <sheetFormatPr defaultColWidth="8.714843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80"/>
    <col collapsed="false" customWidth="true" hidden="false" outlineLevel="0" max="4" min="4" style="1" width="22"/>
    <col collapsed="false" customWidth="true" hidden="false" outlineLevel="0" max="5" min="5" style="1" width="44"/>
  </cols>
  <sheetData>
    <row r="1" customFormat="false" ht="25.5" hidden="false" customHeight="true" outlineLevel="0" collapsed="false">
      <c r="A1" s="2" t="s">
        <v>591</v>
      </c>
      <c r="B1" s="2"/>
      <c r="C1" s="2"/>
      <c r="D1" s="2"/>
      <c r="E1" s="2"/>
    </row>
    <row r="2" customFormat="false" ht="30" hidden="false" customHeight="true" outlineLevel="0" collapsed="false">
      <c r="A2" s="5" t="s">
        <v>592</v>
      </c>
      <c r="B2" s="5"/>
      <c r="C2" s="5"/>
      <c r="D2" s="5"/>
      <c r="E2" s="5"/>
    </row>
    <row r="4" customFormat="false" ht="30" hidden="false" customHeight="true" outlineLevel="0" collapsed="false">
      <c r="A4" s="19" t="s">
        <v>593</v>
      </c>
      <c r="B4" s="19" t="s">
        <v>594</v>
      </c>
      <c r="C4" s="19" t="s">
        <v>595</v>
      </c>
      <c r="D4" s="19" t="s">
        <v>40</v>
      </c>
      <c r="E4" s="19" t="s">
        <v>46</v>
      </c>
    </row>
    <row r="5" customFormat="false" ht="15" hidden="false" customHeight="true" outlineLevel="0" collapsed="false">
      <c r="A5" s="20" t="s">
        <v>596</v>
      </c>
      <c r="B5" s="21" t="s">
        <v>597</v>
      </c>
      <c r="C5" s="21" t="s">
        <v>598</v>
      </c>
      <c r="D5" s="21" t="s">
        <v>3</v>
      </c>
      <c r="E5" s="21"/>
    </row>
    <row r="6" customFormat="false" ht="63.75" hidden="false" customHeight="true" outlineLevel="0" collapsed="false">
      <c r="A6" s="20" t="s">
        <v>599</v>
      </c>
      <c r="B6" s="21" t="s">
        <v>600</v>
      </c>
      <c r="C6" s="21" t="s">
        <v>601</v>
      </c>
      <c r="D6" s="21" t="s">
        <v>602</v>
      </c>
      <c r="E6" s="21" t="s">
        <v>603</v>
      </c>
    </row>
    <row r="7" customFormat="false" ht="38.25" hidden="false" customHeight="true" outlineLevel="0" collapsed="false">
      <c r="A7" s="20" t="s">
        <v>604</v>
      </c>
      <c r="B7" s="21" t="s">
        <v>605</v>
      </c>
      <c r="C7" s="21" t="s">
        <v>606</v>
      </c>
      <c r="D7" s="21" t="s">
        <v>3</v>
      </c>
      <c r="E7" s="21" t="s">
        <v>607</v>
      </c>
    </row>
    <row r="8" customFormat="false" ht="25.5" hidden="false" customHeight="true" outlineLevel="0" collapsed="false">
      <c r="A8" s="20" t="s">
        <v>608</v>
      </c>
      <c r="B8" s="21" t="s">
        <v>609</v>
      </c>
      <c r="C8" s="21" t="s">
        <v>610</v>
      </c>
      <c r="D8" s="21" t="s">
        <v>3</v>
      </c>
      <c r="E8" s="21"/>
    </row>
    <row r="9" customFormat="false" ht="38.25" hidden="false" customHeight="true" outlineLevel="0" collapsed="false">
      <c r="A9" s="20" t="s">
        <v>611</v>
      </c>
      <c r="B9" s="21" t="s">
        <v>612</v>
      </c>
      <c r="C9" s="21" t="s">
        <v>613</v>
      </c>
      <c r="D9" s="21" t="s">
        <v>3</v>
      </c>
      <c r="E9" s="21"/>
    </row>
    <row r="10" customFormat="false" ht="25.5" hidden="false" customHeight="true" outlineLevel="0" collapsed="false">
      <c r="A10" s="20" t="s">
        <v>614</v>
      </c>
      <c r="B10" s="21" t="s">
        <v>615</v>
      </c>
      <c r="C10" s="21" t="s">
        <v>616</v>
      </c>
      <c r="D10" s="21" t="s">
        <v>3</v>
      </c>
      <c r="E10" s="21"/>
    </row>
    <row r="11" customFormat="false" ht="25.5" hidden="false" customHeight="true" outlineLevel="0" collapsed="false">
      <c r="A11" s="20" t="s">
        <v>617</v>
      </c>
      <c r="B11" s="21" t="s">
        <v>618</v>
      </c>
      <c r="C11" s="21" t="s">
        <v>619</v>
      </c>
      <c r="D11" s="21" t="s">
        <v>3</v>
      </c>
      <c r="E11" s="21" t="s">
        <v>620</v>
      </c>
    </row>
    <row r="12" customFormat="false" ht="51" hidden="false" customHeight="true" outlineLevel="0" collapsed="false">
      <c r="A12" s="20" t="s">
        <v>621</v>
      </c>
      <c r="B12" s="21" t="s">
        <v>622</v>
      </c>
      <c r="C12" s="21" t="s">
        <v>623</v>
      </c>
      <c r="D12" s="21" t="s">
        <v>579</v>
      </c>
      <c r="E12" s="21" t="s">
        <v>624</v>
      </c>
    </row>
    <row r="13" customFormat="false" ht="38.25" hidden="false" customHeight="true" outlineLevel="0" collapsed="false">
      <c r="A13" s="20" t="s">
        <v>625</v>
      </c>
      <c r="B13" s="21" t="s">
        <v>626</v>
      </c>
      <c r="C13" s="21" t="s">
        <v>627</v>
      </c>
      <c r="D13" s="21" t="s">
        <v>586</v>
      </c>
      <c r="E13" s="21" t="s">
        <v>628</v>
      </c>
    </row>
    <row r="14" customFormat="false" ht="51" hidden="false" customHeight="true" outlineLevel="0" collapsed="false">
      <c r="A14" s="20" t="s">
        <v>629</v>
      </c>
      <c r="B14" s="21" t="s">
        <v>630</v>
      </c>
      <c r="C14" s="21" t="s">
        <v>631</v>
      </c>
      <c r="D14" s="21" t="s">
        <v>3</v>
      </c>
      <c r="E14" s="21" t="s">
        <v>632</v>
      </c>
    </row>
    <row r="15" customFormat="false" ht="25.5" hidden="false" customHeight="true" outlineLevel="0" collapsed="false">
      <c r="A15" s="20" t="s">
        <v>633</v>
      </c>
      <c r="B15" s="21" t="s">
        <v>634</v>
      </c>
      <c r="C15" s="21" t="s">
        <v>635</v>
      </c>
      <c r="D15" s="21" t="s">
        <v>3</v>
      </c>
      <c r="E15" s="21"/>
    </row>
    <row r="16" customFormat="false" ht="25.5" hidden="false" customHeight="true" outlineLevel="0" collapsed="false">
      <c r="A16" s="20" t="s">
        <v>139</v>
      </c>
      <c r="B16" s="21" t="s">
        <v>636</v>
      </c>
      <c r="C16" s="21" t="s">
        <v>637</v>
      </c>
      <c r="D16" s="21" t="s">
        <v>3</v>
      </c>
      <c r="E16" s="21"/>
    </row>
    <row r="17" customFormat="false" ht="38.25" hidden="false" customHeight="true" outlineLevel="0" collapsed="false">
      <c r="A17" s="20" t="s">
        <v>638</v>
      </c>
      <c r="B17" s="21" t="s">
        <v>639</v>
      </c>
      <c r="C17" s="21" t="s">
        <v>640</v>
      </c>
      <c r="D17" s="21" t="s">
        <v>3</v>
      </c>
      <c r="E17" s="21" t="s">
        <v>641</v>
      </c>
    </row>
    <row r="18" customFormat="false" ht="153" hidden="false" customHeight="true" outlineLevel="0" collapsed="false">
      <c r="A18" s="20" t="s">
        <v>539</v>
      </c>
      <c r="B18" s="21" t="s">
        <v>642</v>
      </c>
      <c r="C18" s="21" t="s">
        <v>643</v>
      </c>
      <c r="D18" s="21" t="s">
        <v>3</v>
      </c>
      <c r="E18" s="21" t="s">
        <v>644</v>
      </c>
    </row>
    <row r="19" customFormat="false" ht="25.5" hidden="false" customHeight="true" outlineLevel="0" collapsed="false">
      <c r="A19" s="20" t="s">
        <v>645</v>
      </c>
      <c r="B19" s="21" t="s">
        <v>646</v>
      </c>
      <c r="C19" s="21" t="s">
        <v>647</v>
      </c>
      <c r="D19" s="21" t="s">
        <v>7</v>
      </c>
      <c r="E19" s="21"/>
    </row>
  </sheetData>
  <autoFilter ref="A4:E19"/>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2026-09-22T05:27:47Z</dcterms:created>
  <dc:creator>openpyxl</dc:creator>
  <dc:description/>
  <dc:language>en-US</dc:language>
  <cp:lastModifiedBy>Kala Nisha G</cp:lastModifiedBy>
  <dcterms:modified xsi:type="dcterms:W3CDTF">2026-09-23T03:49:33Z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